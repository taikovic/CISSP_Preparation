
<file path=[Content_Types].xml><?xml version="1.0" encoding="utf-8"?>
<Types xmlns="http://schemas.openxmlformats.org/package/2006/content-types">
  <Override PartName="/xl/_rels/workbook.xml.rels" ContentType="application/vnd.openxmlformats-package.relationships+xml"/>
  <Override PartName="/xl/tables/table3.xml" ContentType="application/vnd.openxmlformats-officedocument.spreadsheetml.table+xml"/>
  <Override PartName="/xl/tables/table4.xml" ContentType="application/vnd.openxmlformats-officedocument.spreadsheetml.table+xml"/>
  <Override PartName="/xl/tables/table1.xml" ContentType="application/vnd.openxmlformats-officedocument.spreadsheetml.table+xml"/>
  <Override PartName="/xl/tables/table2.xml" ContentType="application/vnd.openxmlformats-officedocument.spreadsheetml.table+xml"/>
  <Override PartName="/xl/comments29.xml" ContentType="application/vnd.openxmlformats-officedocument.spreadsheetml.comments+xml"/>
  <Override PartName="/xl/media/image1.png" ContentType="image/png"/>
  <Override PartName="/xl/vbaProject.bin" ContentType="application/vnd.ms-office.vbaProject"/>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10.xml" ContentType="application/vnd.openxmlformats-officedocument.spreadsheetml.worksheet+xml"/>
  <Override PartName="/xl/worksheets/sheet35.xml" ContentType="application/vnd.openxmlformats-officedocument.spreadsheetml.worksheet+xml"/>
  <Override PartName="/xl/worksheets/sheet11.xml" ContentType="application/vnd.openxmlformats-officedocument.spreadsheetml.worksheet+xml"/>
  <Override PartName="/xl/worksheets/sheet36.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8.xml" ContentType="application/vnd.openxmlformats-officedocument.spreadsheetml.worksheet+xml"/>
  <Override PartName="/xl/worksheets/_rels/sheet31.xml.rels" ContentType="application/vnd.openxmlformats-package.relationships+xml"/>
  <Override PartName="/xl/worksheets/_rels/sheet30.xml.rels" ContentType="application/vnd.openxmlformats-package.relationships+xml"/>
  <Override PartName="/xl/worksheets/_rels/sheet4.xml.rels" ContentType="application/vnd.openxmlformats-package.relationships+xml"/>
  <Override PartName="/xl/worksheets/_rels/sheet1.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29.xml.rels" ContentType="application/vnd.openxmlformats-package.relationships+xml"/>
  <Override PartName="/xl/worksheets/_rels/sheet16.xml.rels" ContentType="application/vnd.openxmlformats-package.relationships+xml"/>
  <Override PartName="/xl/worksheets/sheet21.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20.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1.xml.rels" ContentType="application/vnd.openxmlformats-package.relationships+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General" sheetId="1" state="visible" r:id="rId3"/>
    <sheet name="Coverage by Desk" sheetId="2" state="visible" r:id="rId4"/>
    <sheet name="ClientScope" sheetId="3" state="visible" r:id="rId5"/>
    <sheet name="FM Critical Application" sheetId="4" state="visible" r:id="rId6"/>
    <sheet name="3PRM Process" sheetId="5" state="visible" r:id="rId7"/>
    <sheet name="BC 01" sheetId="6" state="visible" r:id="rId8"/>
    <sheet name="BC02" sheetId="7" state="visible" r:id="rId9"/>
    <sheet name="BC03" sheetId="8" state="visible" r:id="rId10"/>
    <sheet name="BC04" sheetId="9" state="visible" r:id="rId11"/>
    <sheet name="BC05" sheetId="10" state="visible" r:id="rId12"/>
    <sheet name="DRP" sheetId="11" state="visible" r:id="rId13"/>
    <sheet name="FCA Security- BestPractices" sheetId="12" state="visible" r:id="rId14"/>
    <sheet name="CyberSecurity" sheetId="13" state="visible" r:id="rId15"/>
    <sheet name="ITSec Glossary" sheetId="14" state="visible" r:id="rId16"/>
    <sheet name="BK Outsourcing Mgmt (1)" sheetId="15" state="visible" r:id="rId17"/>
    <sheet name="BK Outsourcing Mgmt (2)" sheetId="16" state="visible" r:id="rId18"/>
    <sheet name="OutSourcing Qst" sheetId="17" state="visible" r:id="rId19"/>
    <sheet name="Security Mgmt" sheetId="18" state="visible" r:id="rId20"/>
    <sheet name="Bank CyberSec Mgmt" sheetId="19" state="visible" r:id="rId21"/>
    <sheet name="DataGov" sheetId="20" state="visible" r:id="rId22"/>
    <sheet name="DQuality" sheetId="21" state="visible" r:id="rId23"/>
    <sheet name="DQMetrics" sheetId="22" state="visible" r:id="rId24"/>
    <sheet name="DRisk" sheetId="23" state="visible" r:id="rId25"/>
    <sheet name="NBCFI-NBOC" sheetId="24" state="visible" r:id="rId26"/>
    <sheet name="NBC CIPD RMS" sheetId="25" state="visible" r:id="rId27"/>
    <sheet name="Test Hypertec_CIPD_FICC" sheetId="26" state="visible" r:id="rId28"/>
    <sheet name="Sheet5" sheetId="27" state="visible" r:id="rId29"/>
    <sheet name="NBCFMA" sheetId="28" state="visible" r:id="rId30"/>
    <sheet name="Strategy BC FM" sheetId="29" state="visible" r:id="rId31"/>
    <sheet name="DigitalRisk" sheetId="30" state="visible" r:id="rId32"/>
    <sheet name="FullDigitalRiskDetails" sheetId="31" state="visible" r:id="rId33"/>
    <sheet name="SharedDrive_initiative" sheetId="32" state="visible" r:id="rId34"/>
    <sheet name="FIA Tech" sheetId="33" state="visible" r:id="rId35"/>
    <sheet name="Supply Chain Mgmt Mandate" sheetId="34" state="visible" r:id="rId36"/>
    <sheet name="DTCC" sheetId="35" state="visible" r:id="rId37"/>
    <sheet name="Dashboard" sheetId="36" state="visible" r:id="rId38"/>
  </sheets>
  <definedNames>
    <definedName function="false" hidden="false" localSheetId="23" name="_ftn1" vbProcedure="false">'NBCFI-NBOC'!$C$11</definedName>
    <definedName function="false" hidden="false" localSheetId="23" name="_ftn2" vbProcedure="false">'NBCFI-NBOC'!$C$12</definedName>
    <definedName function="false" hidden="false" localSheetId="23" name="_ftnref1" vbProcedure="false">'NBCFI-NBOC'!$C$4</definedName>
    <definedName function="false" hidden="false" localSheetId="23" name="_ftnref2" vbProcedure="false">'NBCFI-NBOC'!$C$5</definedName>
    <definedName function="false" hidden="false" localSheetId="24" name="_Hlk14178151" vbProcedure="false">'NBC CIPD RMS'!$C$7</definedName>
    <definedName function="false" hidden="false" localSheetId="29" name="ExternalData_1" vbProcedure="false">DigitalRisk!$B$5:$D$21</definedName>
    <definedName function="false" hidden="false" localSheetId="29" name="ExternalData_2" vbProcedure="false">DigitalRisk!$AH$2:$AK$44</definedName>
    <definedName function="false" hidden="false" localSheetId="29" name="ExternalData_3" vbProcedure="false">DigitalRisk!$F$5:$I$17</definedName>
    <definedName function="false" hidden="false" localSheetId="30" name="ExternalData_4" vbProcedure="false">FullDigitalRiskDetails!$B$3:$R$64</definedName>
  </definedNames>
  <calcPr iterateCount="100" refMode="A1" iterate="false" iterateDelta="0.0001"/>
  <extLst>
    <ext xmlns:loext="http://schemas.libreoffice.org/" uri="{7626C862-2A13-11E5-B345-FEFF819CDC9F}">
      <loext:extCalcPr stringRefSyntax="ExcelA1"/>
    </ext>
  </extLst>
</workbook>
</file>

<file path=xl/comments29.xml><?xml version="1.0" encoding="utf-8"?>
<comments xmlns="http://schemas.openxmlformats.org/spreadsheetml/2006/main" xmlns:xdr="http://schemas.openxmlformats.org/drawingml/2006/spreadsheetDrawing">
  <authors>
    <author> </author>
  </authors>
  <commentList>
    <comment ref="F7" authorId="0">
      <text>
        <r>
          <rPr>
            <b val="true"/>
            <sz val="9"/>
            <color rgb="FF000000"/>
            <rFont val="Tahoma"/>
            <family val="2"/>
            <charset val="1"/>
          </rPr>
          <t xml:space="preserve">Taik, Abdelali:
</t>
        </r>
        <r>
          <rPr>
            <sz val="9"/>
            <color rgb="FF000000"/>
            <rFont val="Tahoma"/>
            <family val="2"/>
            <charset val="1"/>
          </rPr>
          <t xml:space="preserve">Alain Katchouni &amp; Fred Viger</t>
        </r>
      </text>
    </comment>
    <comment ref="F8" authorId="0">
      <text>
        <r>
          <rPr>
            <b val="true"/>
            <sz val="9"/>
            <color rgb="FF000000"/>
            <rFont val="Tahoma"/>
            <family val="2"/>
            <charset val="1"/>
          </rPr>
          <t xml:space="preserve">Taik, Abdelali:
</t>
        </r>
        <r>
          <rPr>
            <sz val="9"/>
            <color rgb="FF000000"/>
            <rFont val="Tahoma"/>
            <family val="2"/>
            <charset val="1"/>
          </rPr>
          <t xml:space="preserve">Francois Juteau</t>
        </r>
      </text>
    </comment>
    <comment ref="F9" authorId="0">
      <text>
        <r>
          <rPr>
            <b val="true"/>
            <sz val="9"/>
            <color rgb="FF000000"/>
            <rFont val="Tahoma"/>
            <family val="2"/>
            <charset val="1"/>
          </rPr>
          <t xml:space="preserve">Taik, Abdelali:
</t>
        </r>
        <r>
          <rPr>
            <sz val="9"/>
            <color rgb="FF000000"/>
            <rFont val="Tahoma"/>
            <family val="2"/>
            <charset val="1"/>
          </rPr>
          <t xml:space="preserve">Martin Verschuere, kevin Gauvin, Olivier Lussier &amp;&amp; Phil larocque, Benoit Fortin</t>
        </r>
      </text>
    </comment>
    <comment ref="F10" authorId="0">
      <text>
        <r>
          <rPr>
            <b val="true"/>
            <sz val="9"/>
            <color rgb="FF000000"/>
            <rFont val="Tahoma"/>
            <family val="2"/>
            <charset val="1"/>
          </rPr>
          <t xml:space="preserve">Taik, Abdelali:
</t>
        </r>
        <r>
          <rPr>
            <sz val="9"/>
            <color rgb="FF000000"/>
            <rFont val="Tahoma"/>
            <family val="2"/>
            <charset val="1"/>
          </rPr>
          <t xml:space="preserve">Guillaume Roy, Paolo Albanese, Jean-philippe cousineau</t>
        </r>
      </text>
    </comment>
  </commentList>
</comments>
</file>

<file path=xl/sharedStrings.xml><?xml version="1.0" encoding="utf-8"?>
<sst xmlns="http://schemas.openxmlformats.org/spreadsheetml/2006/main" count="2655" uniqueCount="2046">
  <si>
    <t xml:space="preserve">URL</t>
  </si>
  <si>
    <t xml:space="preserve">Description</t>
  </si>
  <si>
    <t xml:space="preserve">ta3miah:Welcomea1</t>
  </si>
  <si>
    <t xml:space="preserve">https://cbncnbccs.sharepoint.com/sites/bncdoc/fr/_layouts/15/search.aspx/siteall?q=continuite%20des%20affaires</t>
  </si>
  <si>
    <t xml:space="preserve">Business continuity (IP)</t>
  </si>
  <si>
    <t xml:space="preserve">mosta3mil:BeLLIL01</t>
  </si>
  <si>
    <t xml:space="preserve">Sungard_Prod appli</t>
  </si>
  <si>
    <t xml:space="preserve">ABDTAI01</t>
  </si>
  <si>
    <t xml:space="preserve">Sungard_01</t>
  </si>
  <si>
    <t xml:space="preserve">Upcoming Events: </t>
  </si>
  <si>
    <t xml:space="preserve">DRT treso:  15 Juin : preparation est en cours;</t>
  </si>
  <si>
    <t xml:space="preserve">LcH: test de releve: 29 Juin: qui de l'Operation et Murex:</t>
  </si>
  <si>
    <t xml:space="preserve">FM Entities:</t>
  </si>
  <si>
    <t xml:space="preserve">CANADIAN</t>
  </si>
  <si>
    <t xml:space="preserve">US</t>
  </si>
  <si>
    <t xml:space="preserve">OTHERS</t>
  </si>
  <si>
    <t xml:space="preserve">NBC</t>
  </si>
  <si>
    <t xml:space="preserve">NBCFI</t>
  </si>
  <si>
    <t xml:space="preserve">NBCGF Dublin</t>
  </si>
  <si>
    <t xml:space="preserve">NBC INC</t>
  </si>
  <si>
    <t xml:space="preserve">CREDIGY</t>
  </si>
  <si>
    <t xml:space="preserve">NBCFMA(HK)</t>
  </si>
  <si>
    <t xml:space="preserve">NBF LTD</t>
  </si>
  <si>
    <t xml:space="preserve">NBCN</t>
  </si>
  <si>
    <t xml:space="preserve">NBC COMMO</t>
  </si>
  <si>
    <t xml:space="preserve">Cib Users distribution list: IB analysts - all; IB Associates - All; CCM Analysts - All; CCM Associates - All;</t>
  </si>
  <si>
    <t xml:space="preserve">Incidents Database:</t>
  </si>
  <si>
    <t xml:space="preserve">WM Entities:</t>
  </si>
  <si>
    <t xml:space="preserve">https://wiki.bnc.ca/spaces/viewspace.action?key=EDC</t>
  </si>
  <si>
    <t xml:space="preserve">NBF   </t>
  </si>
  <si>
    <t xml:space="preserve">NBCN (NB Correspondent Network)</t>
  </si>
  <si>
    <t xml:space="preserve">RH: 877 - 394- 0781</t>
  </si>
  <si>
    <t xml:space="preserve">NBDB (NB Direct Brokerage)</t>
  </si>
  <si>
    <t xml:space="preserve">Financial Markets: Strategy &amp; Business Management</t>
  </si>
  <si>
    <t xml:space="preserve">Coverage per desk for Business Continuity &amp; Incident Management purposes</t>
  </si>
  <si>
    <t xml:space="preserve">Business Continuity - Incident &amp; Crisis management</t>
  </si>
  <si>
    <t xml:space="preserve">Abdelali Taik</t>
  </si>
  <si>
    <t xml:space="preserve">Oscar Nieto</t>
  </si>
  <si>
    <t xml:space="preserve">Akli Feraoun</t>
  </si>
  <si>
    <t xml:space="preserve">FM Division</t>
  </si>
  <si>
    <t xml:space="preserve">Head</t>
  </si>
  <si>
    <t xml:space="preserve">Business Unit Cells</t>
  </si>
  <si>
    <t xml:space="preserve">Desk Head</t>
  </si>
  <si>
    <t xml:space="preserve">BC-contact</t>
  </si>
  <si>
    <t xml:space="preserve">Desks</t>
  </si>
  <si>
    <t xml:space="preserve">CIB</t>
  </si>
  <si>
    <t xml:space="preserve">Yannick Blanchard</t>
  </si>
  <si>
    <t xml:space="preserve">I Gillespie /D Torrey /M Williamson</t>
  </si>
  <si>
    <t xml:space="preserve">Éric Gaudet</t>
  </si>
  <si>
    <t xml:space="preserve">CCM - Credit Capital Market</t>
  </si>
  <si>
    <t xml:space="preserve">Maude Leblond /James Feehely</t>
  </si>
  <si>
    <t xml:space="preserve">Securitization  </t>
  </si>
  <si>
    <t xml:space="preserve">David Savard</t>
  </si>
  <si>
    <t xml:space="preserve">Merger &amp; Acquisitions</t>
  </si>
  <si>
    <t xml:space="preserve">Francois Montigny</t>
  </si>
  <si>
    <t xml:space="preserve">Loan Structuring and Syndication</t>
  </si>
  <si>
    <t xml:space="preserve">Maude Leblond</t>
  </si>
  <si>
    <t xml:space="preserve">Investment Banking</t>
  </si>
  <si>
    <t xml:space="preserve">Filler</t>
  </si>
  <si>
    <t xml:space="preserve">EQUITIES</t>
  </si>
  <si>
    <t xml:space="preserve">Etienne Dubuc</t>
  </si>
  <si>
    <t xml:space="preserve">I Ioffe /V D'Oranageville</t>
  </si>
  <si>
    <t xml:space="preserve">Roselyne Morissette</t>
  </si>
  <si>
    <t xml:space="preserve">Quantitative Solutions /Analytics &amp; AI</t>
  </si>
  <si>
    <t xml:space="preserve"> X</t>
  </si>
  <si>
    <t xml:space="preserve">Equities</t>
  </si>
  <si>
    <t xml:space="preserve">Chris Dale /Dan Nowlan</t>
  </si>
  <si>
    <t xml:space="preserve">ECM Equity Capital Market</t>
  </si>
  <si>
    <t xml:space="preserve">X</t>
  </si>
  <si>
    <t xml:space="preserve">J Clap /I Danyliuk(Grec Colman) /A Katchouni</t>
  </si>
  <si>
    <t xml:space="preserve">Market Making &amp; Electronic Trading &amp; Research</t>
  </si>
  <si>
    <t xml:space="preserve">Nicolas Patard</t>
  </si>
  <si>
    <t xml:space="preserve">ETF Structuring </t>
  </si>
  <si>
    <t xml:space="preserve">Structured Notes</t>
  </si>
  <si>
    <t xml:space="preserve">Patard /Limoges /Tessier /Verschuere</t>
  </si>
  <si>
    <t xml:space="preserve">Structured Notes &amp; Exotics</t>
  </si>
  <si>
    <t xml:space="preserve">Vincent Marquis/Tessier</t>
  </si>
  <si>
    <t xml:space="preserve">Structured Notes </t>
  </si>
  <si>
    <t xml:space="preserve">FICC</t>
  </si>
  <si>
    <t xml:space="preserve">JF Babin</t>
  </si>
  <si>
    <t xml:space="preserve">IR &amp; Bonds</t>
  </si>
  <si>
    <t xml:space="preserve">Chris Miller</t>
  </si>
  <si>
    <t xml:space="preserve">Chantal Cantin</t>
  </si>
  <si>
    <t xml:space="preserve">Interest Rate Trading</t>
  </si>
  <si>
    <t xml:space="preserve"> &amp;</t>
  </si>
  <si>
    <t xml:space="preserve">Maxime Brunet</t>
  </si>
  <si>
    <t xml:space="preserve">Debt Capital Market (Corporate) &amp; Trading</t>
  </si>
  <si>
    <t xml:space="preserve">X </t>
  </si>
  <si>
    <t xml:space="preserve"> Sean St-John</t>
  </si>
  <si>
    <t xml:space="preserve">Sunil Bhutani </t>
  </si>
  <si>
    <t xml:space="preserve">Debt Capital Market (Government)</t>
  </si>
  <si>
    <t xml:space="preserve">Peter Hepburn</t>
  </si>
  <si>
    <t xml:space="preserve">Infrastructure </t>
  </si>
  <si>
    <t xml:space="preserve">Foreign Exchange Trading</t>
  </si>
  <si>
    <t xml:space="preserve">Martin Legault</t>
  </si>
  <si>
    <t xml:space="preserve">Commodities</t>
  </si>
  <si>
    <t xml:space="preserve">James Joyce</t>
  </si>
  <si>
    <t xml:space="preserve">Commodities - Calgary</t>
  </si>
  <si>
    <t xml:space="preserve">Rene Cayouette /Benoit Pigeon</t>
  </si>
  <si>
    <t xml:space="preserve">RMS -  FM                                            [*IRD/COMM]</t>
  </si>
  <si>
    <t xml:space="preserve">RMS -  P&amp;C (REF A Lemieux)              [*IRD/COMM]</t>
  </si>
  <si>
    <t xml:space="preserve">Lariviere /Miller /Bhutani /Lovely</t>
  </si>
  <si>
    <t xml:space="preserve">FICC Institutional Sales &amp; Research</t>
  </si>
  <si>
    <t xml:space="preserve">FUNDING &amp; TREASURY</t>
  </si>
  <si>
    <t xml:space="preserve">Yury Shmuylovich</t>
  </si>
  <si>
    <t xml:space="preserve">International Trading </t>
  </si>
  <si>
    <t xml:space="preserve">International Trading  - Hong Kong</t>
  </si>
  <si>
    <t xml:space="preserve">&amp;</t>
  </si>
  <si>
    <t xml:space="preserve">Dan Duggan</t>
  </si>
  <si>
    <t xml:space="preserve">International Trading  - London</t>
  </si>
  <si>
    <t xml:space="preserve">Miguel Lacasse</t>
  </si>
  <si>
    <t xml:space="preserve">GSF </t>
  </si>
  <si>
    <t xml:space="preserve">S Healey &amp; C Attie/Sonia</t>
  </si>
  <si>
    <t xml:space="preserve">Global Securities Finance (Delta One)</t>
  </si>
  <si>
    <t xml:space="preserve">Global Securities Finance (SBL)</t>
  </si>
  <si>
    <t xml:space="preserve">Chloe Blondy</t>
  </si>
  <si>
    <t xml:space="preserve">NBCFI - New York</t>
  </si>
  <si>
    <t xml:space="preserve">Jean-Philippe Drolet</t>
  </si>
  <si>
    <t xml:space="preserve">Short-Term Funding</t>
  </si>
  <si>
    <t xml:space="preserve">NBCGF - (Dublin)         </t>
  </si>
  <si>
    <t xml:space="preserve">S Sacolax /G Paversio</t>
  </si>
  <si>
    <t xml:space="preserve">MDB</t>
  </si>
  <si>
    <t xml:space="preserve">Darren Ablett</t>
  </si>
  <si>
    <t xml:space="preserve">MDB - Mortgage Derivatives Business </t>
  </si>
  <si>
    <t xml:space="preserve">A Sauvageau &amp; G Laperriere</t>
  </si>
  <si>
    <t xml:space="preserve">Rates &amp; Credit Investments</t>
  </si>
  <si>
    <t xml:space="preserve">Private Placement &amp; Pension Fund</t>
  </si>
  <si>
    <t xml:space="preserve">Normand Roy </t>
  </si>
  <si>
    <t xml:space="preserve">Private Placement </t>
  </si>
  <si>
    <t xml:space="preserve">JF Tessier </t>
  </si>
  <si>
    <t xml:space="preserve">XVA</t>
  </si>
  <si>
    <t xml:space="preserve">Jean-Sebastien Gagne /Erin Keleher</t>
  </si>
  <si>
    <t xml:space="preserve">Treasurer/ Optimization &amp; Regulatory</t>
  </si>
  <si>
    <t xml:space="preserve">Sub-business Unit </t>
  </si>
  <si>
    <t xml:space="preserve">Critical Level</t>
  </si>
  <si>
    <t xml:space="preserve">Business Recovery Time</t>
  </si>
  <si>
    <t xml:space="preserve">I Ioffe /V D'Orangeville</t>
  </si>
  <si>
    <t xml:space="preserve">Equities BU’s</t>
  </si>
  <si>
    <t xml:space="preserve">J Clap /I Danyliuk /A Katchouni</t>
  </si>
  <si>
    <t xml:space="preserve">ETF &amp; Electronic Trading</t>
  </si>
  <si>
    <t xml:space="preserve">Very High</t>
  </si>
  <si>
    <t xml:space="preserve">0-4 hrs</t>
  </si>
  <si>
    <t xml:space="preserve">Financial Products</t>
  </si>
  <si>
    <t xml:space="preserve">Structured Products &amp; Exotics</t>
  </si>
  <si>
    <t xml:space="preserve">Institutional Equities</t>
  </si>
  <si>
    <t xml:space="preserve">Equity Capital Markets</t>
  </si>
  <si>
    <t xml:space="preserve">Analytics &amp; Artificial Intelligence</t>
  </si>
  <si>
    <t xml:space="preserve">Research</t>
  </si>
  <si>
    <t xml:space="preserve">High</t>
  </si>
  <si>
    <t xml:space="preserve">4-24 hrs</t>
  </si>
  <si>
    <t xml:space="preserve">Quantitative Solutions</t>
  </si>
  <si>
    <t xml:space="preserve">Business Management</t>
  </si>
  <si>
    <t xml:space="preserve">Global Securities BU’s</t>
  </si>
  <si>
    <t xml:space="preserve">Delta One</t>
  </si>
  <si>
    <t xml:space="preserve">SBL – Security Borrowing &amp; Lending</t>
  </si>
  <si>
    <t xml:space="preserve">Mortgage Derivative Business</t>
  </si>
  <si>
    <t xml:space="preserve">Optimization &amp; Regulatory</t>
  </si>
  <si>
    <t xml:space="preserve">4-8 hrs</t>
  </si>
  <si>
    <t xml:space="preserve">Front Office Technology</t>
  </si>
  <si>
    <t xml:space="preserve">StakeHolders:</t>
  </si>
  <si>
    <t xml:space="preserve">Decription</t>
  </si>
  <si>
    <t xml:space="preserve">Member.Testing@lch.com</t>
  </si>
  <si>
    <t xml:space="preserve">team LCH</t>
  </si>
  <si>
    <t xml:space="preserve">Murex </t>
  </si>
  <si>
    <t xml:space="preserve">Serge Pelletier</t>
  </si>
  <si>
    <t xml:space="preserve">TI</t>
  </si>
  <si>
    <t xml:space="preserve">Dept</t>
  </si>
  <si>
    <t xml:space="preserve">Critical Apps (In house)</t>
  </si>
  <si>
    <t xml:space="preserve">Critical ThirdParty apps (Vendor)</t>
  </si>
  <si>
    <t xml:space="preserve">ACMS</t>
  </si>
  <si>
    <t xml:space="preserve">FINASTRA - CJ</t>
  </si>
  <si>
    <t xml:space="preserve">To Check: </t>
  </si>
  <si>
    <t xml:space="preserve">Capital IQ IH Vs Vd</t>
  </si>
  <si>
    <t xml:space="preserve">FIDELITY INFORMATION SERVICES  CJ</t>
  </si>
  <si>
    <t xml:space="preserve">GEOScout/Logic</t>
  </si>
  <si>
    <t xml:space="preserve">Crystal report runtime</t>
  </si>
  <si>
    <t xml:space="preserve">FDC: Financial data Centre</t>
  </si>
  <si>
    <t xml:space="preserve">IDMS(pour FDS: financement des societes)</t>
  </si>
  <si>
    <t xml:space="preserve">MS Office /Outlook</t>
  </si>
  <si>
    <t xml:space="preserve">GestionClient</t>
  </si>
  <si>
    <t xml:space="preserve">Moodys</t>
  </si>
  <si>
    <t xml:space="preserve">Prêt du SAGE</t>
  </si>
  <si>
    <t xml:space="preserve">Thomson One (4.6 + Analytics)</t>
  </si>
  <si>
    <t xml:space="preserve">Rentabilité Client</t>
  </si>
  <si>
    <t xml:space="preserve">FactSet</t>
  </si>
  <si>
    <t xml:space="preserve">UCC: Unified Corporate Client</t>
  </si>
  <si>
    <t xml:space="preserve">Centre Info - FDS Financement des Sociétés /Conso. Bancaires</t>
  </si>
  <si>
    <t xml:space="preserve">CCM</t>
  </si>
  <si>
    <t xml:space="preserve">Capital IQ</t>
  </si>
  <si>
    <t xml:space="preserve">ICOP</t>
  </si>
  <si>
    <t xml:space="preserve">Moodys(MFA)</t>
  </si>
  <si>
    <t xml:space="preserve">IDMS</t>
  </si>
  <si>
    <t xml:space="preserve">Moody's RiskFrontier Deal Analyser</t>
  </si>
  <si>
    <t xml:space="preserve">Risk Metrics</t>
  </si>
  <si>
    <t xml:space="preserve">FISERV - NBOC</t>
  </si>
  <si>
    <t xml:space="preserve">Reuter Eikon</t>
  </si>
  <si>
    <t xml:space="preserve">OSFI &amp; Syndication DB</t>
  </si>
  <si>
    <t xml:space="preserve">RFDA Client</t>
  </si>
  <si>
    <t xml:space="preserve">Risk Analyst FRR(Moodys)</t>
  </si>
  <si>
    <t xml:space="preserve">CMDB</t>
  </si>
  <si>
    <t xml:space="preserve">ACBS</t>
  </si>
  <si>
    <t xml:space="preserve">Icarius</t>
  </si>
  <si>
    <t xml:space="preserve">Bloomberg (TOMS + Gateway PRO + FIET)</t>
  </si>
  <si>
    <t xml:space="preserve">Check: </t>
  </si>
  <si>
    <t xml:space="preserve">ISM</t>
  </si>
  <si>
    <t xml:space="preserve">CBID platform</t>
  </si>
  <si>
    <t xml:space="preserve">IX Trader</t>
  </si>
  <si>
    <t xml:space="preserve">GL WIN</t>
  </si>
  <si>
    <t xml:space="preserve">STRF</t>
  </si>
  <si>
    <t xml:space="preserve">PREBON</t>
  </si>
  <si>
    <t xml:space="preserve">BrokerTek</t>
  </si>
  <si>
    <t xml:space="preserve">API BTA-(Shorcan)</t>
  </si>
  <si>
    <t xml:space="preserve">Candeal(TradeWeb Platform)</t>
  </si>
  <si>
    <t xml:space="preserve">Shorcan platform</t>
  </si>
  <si>
    <t xml:space="preserve">CanIssue</t>
  </si>
  <si>
    <t xml:space="preserve">GFI CreditMatch</t>
  </si>
  <si>
    <t xml:space="preserve">Cantor</t>
  </si>
  <si>
    <t xml:space="preserve">TradeWest - LB Monitor</t>
  </si>
  <si>
    <t xml:space="preserve">BBG - Tradebook</t>
  </si>
  <si>
    <t xml:space="preserve">CNFI</t>
  </si>
  <si>
    <t xml:space="preserve">Freedom</t>
  </si>
  <si>
    <t xml:space="preserve">Espeed</t>
  </si>
  <si>
    <t xml:space="preserve">Murex 3.1</t>
  </si>
  <si>
    <t xml:space="preserve">Global One</t>
  </si>
  <si>
    <t xml:space="preserve">CIPD</t>
  </si>
  <si>
    <t xml:space="preserve">Big Data</t>
  </si>
  <si>
    <t xml:space="preserve">MS Office /Outlook/MS Lync</t>
  </si>
  <si>
    <t xml:space="preserve">OMS(weblink)</t>
  </si>
  <si>
    <t xml:space="preserve">Sungard</t>
  </si>
  <si>
    <t xml:space="preserve">FX Options Pricer Mapping Corpo
(mapping Trader:\\Lbpa1nt1\var\FP)</t>
  </si>
  <si>
    <t xml:space="preserve">BBG</t>
  </si>
  <si>
    <t xml:space="preserve">GRC web(secured app): Need BBG to LogIn</t>
  </si>
  <si>
    <t xml:space="preserve">OCI (v:3.41)</t>
  </si>
  <si>
    <t xml:space="preserve">GED Add-in</t>
  </si>
  <si>
    <t xml:space="preserve">Tableau(url)</t>
  </si>
  <si>
    <t xml:space="preserve">Option Pricer</t>
  </si>
  <si>
    <t xml:space="preserve">Panneau de change (webLink)</t>
  </si>
  <si>
    <t xml:space="preserve">WebUtil Interceptor</t>
  </si>
  <si>
    <t xml:space="preserve">Web Trade Interceptor</t>
  </si>
  <si>
    <t xml:space="preserve">CES </t>
  </si>
  <si>
    <t xml:space="preserve">Acces to H:/Trader$</t>
  </si>
  <si>
    <t xml:space="preserve">SBI-Web New Trade</t>
  </si>
  <si>
    <t xml:space="preserve">Process de Gouvernance:</t>
  </si>
  <si>
    <t xml:space="preserve">(selon security: Strategique BC, confidentielle:Securite)</t>
  </si>
  <si>
    <t xml:space="preserve">pt de vue Security: </t>
  </si>
  <si>
    <t xml:space="preserve">check Security des Tiers</t>
  </si>
  <si>
    <t xml:space="preserve">Process de contact des Tiers pour Security a change: contact direct du fournisseur</t>
  </si>
  <si>
    <t xml:space="preserve">Meme politique pour les tiers que la banque:</t>
  </si>
  <si>
    <t xml:space="preserve">1) Pentest 2) Process d'incidents de securites pour alerter les clients</t>
  </si>
  <si>
    <t xml:space="preserve">voir: Confidentialite de donnees &amp; Integration safe avec le systeme de la Banque</t>
  </si>
  <si>
    <t xml:space="preserve">type: </t>
  </si>
  <si>
    <t xml:space="preserve">ISO 27001</t>
  </si>
  <si>
    <t xml:space="preserve">certifie(plus audit + ens specifique de controle) # conforme</t>
  </si>
  <si>
    <t xml:space="preserve">SOC 1 &amp; SOC 2 Type 1/2</t>
  </si>
  <si>
    <t xml:space="preserve">SOC1: Process TI, Std 'ITIL', avant: pour l'etat financier, description des ctrls en place</t>
  </si>
  <si>
    <t xml:space="preserve">SOC 2: Process Security, std: NIST, NYDFS</t>
  </si>
  <si>
    <t xml:space="preserve">type 1 ou type 2</t>
  </si>
  <si>
    <t xml:space="preserve">type 1: description des controles, type 2: confirmation que les controles sont realises</t>
  </si>
  <si>
    <t xml:space="preserve">availability,integrity, confidentiality, privacy</t>
  </si>
  <si>
    <t xml:space="preserve">ISAE 3402 type 2</t>
  </si>
  <si>
    <t xml:space="preserve">version Euro de Soc 1 type 2</t>
  </si>
  <si>
    <t xml:space="preserve">Sinon: SIG: remplir forms avec evidences</t>
  </si>
  <si>
    <t xml:space="preserve">==&gt; Due Diligence: Avant la signature du contrat (qd on a data dans datacentre externe et integration dans nos systems) 
Diligence pour aspect: securite et confidentialite</t>
  </si>
  <si>
    <t xml:space="preserve">Classification: </t>
  </si>
  <si>
    <t xml:space="preserve">Satisfaisante</t>
  </si>
  <si>
    <t xml:space="preserve">Insatisfaisante</t>
  </si>
  <si>
    <t xml:space="preserve">Partiellement - Satisfaisante: </t>
  </si>
  <si>
    <t xml:space="preserve">=&gt; on demande l'action de ts les partenaires: Legal, security, Oper,…</t>
  </si>
  <si>
    <t xml:space="preserve">Resultats: </t>
  </si>
  <si>
    <t xml:space="preserve">=&gt; Tiering</t>
  </si>
  <si>
    <t xml:space="preserve">T1: annually, T2: Bi-Annually, T3, T4…</t>
  </si>
  <si>
    <t xml:space="preserve">Pas de Due Diligence:</t>
  </si>
  <si>
    <t xml:space="preserve">Installation de software dans nos locaux</t>
  </si>
  <si>
    <t xml:space="preserve">services SaaS</t>
  </si>
  <si>
    <t xml:space="preserve">Lynda Nadeau: </t>
  </si>
  <si>
    <t xml:space="preserve">sera remplace par Michel Fosset</t>
  </si>
  <si>
    <t xml:space="preserve">Bisou security</t>
  </si>
  <si>
    <t xml:space="preserve">Philippe Veilleux </t>
  </si>
  <si>
    <t xml:space="preserve">JF Loiselle: Conformite &amp; Securite</t>
  </si>
  <si>
    <t xml:space="preserve">All Audit Reports or Certifications obtained within the last year, including but not limited to;</t>
  </si>
  <si>
    <t xml:space="preserve">Audit reports on general IT controls: CSAE3416/SSAE16/SOC, etc.</t>
  </si>
  <si>
    <t xml:space="preserve">Certifications such as ISO 27001/ 27002, PCI-DSS, etc.</t>
  </si>
  <si>
    <t xml:space="preserve">Penetration tests reports (internal and external networks)</t>
  </si>
  <si>
    <t xml:space="preserve">Vulnerability assessment report (network or software)</t>
  </si>
  <si>
    <t xml:space="preserve">List of all third party solutions; including data centers</t>
  </si>
  <si>
    <t xml:space="preserve">Proof of corporate governance applied to these third party solutions</t>
  </si>
  <si>
    <t xml:space="preserve">Jargon: </t>
  </si>
  <si>
    <t xml:space="preserve">resuming critical business services rapidly and with accurate Data --&gt; requires </t>
  </si>
  <si>
    <t xml:space="preserve">Cadre:</t>
  </si>
  <si>
    <t xml:space="preserve">Gestion de la continuite des affaires</t>
  </si>
  <si>
    <t xml:space="preserve">BC planning and testing of plausible cyber-attack scenarios</t>
  </si>
  <si>
    <t xml:space="preserve">Gestion de Crise</t>
  </si>
  <si>
    <t xml:space="preserve">Preparing response/recovery planning: Exercising people , processes and technology </t>
  </si>
  <si>
    <t xml:space="preserve">Politique:</t>
  </si>
  <si>
    <t xml:space="preserve">Revisee annuellement</t>
  </si>
  <si>
    <t xml:space="preserve">modifications peuvent etre apportes</t>
  </si>
  <si>
    <t xml:space="preserve">Scenarios: </t>
  </si>
  <si>
    <t xml:space="preserve">but</t>
  </si>
  <si>
    <t xml:space="preserve">s'assurer que la politique encadre</t>
  </si>
  <si>
    <t xml:space="preserve">plausible: inevitable will happen, scenarios tailored to ur business</t>
  </si>
  <si>
    <t xml:space="preserve">les risque en matiere de continuite des affaires et gestion de crise</t>
  </si>
  <si>
    <t xml:space="preserve">identify critical services, people, processes, third-parties to assess the impact on ur business</t>
  </si>
  <si>
    <t xml:space="preserve">en tenant compte de la strategie de la banque et parametres de tolerance aux risques</t>
  </si>
  <si>
    <t xml:space="preserve">make recovery decisions before incident happens: RPO &amp; RTO : business tolerance </t>
  </si>
  <si>
    <t xml:space="preserve">methodologie + gabarits necessaires a la GCA</t>
  </si>
  <si>
    <t xml:space="preserve">review the objectives regularly</t>
  </si>
  <si>
    <t xml:space="preserve">cellule de crise corpo est mise en place</t>
  </si>
  <si>
    <t xml:space="preserve">lessons learnt: port mortem</t>
  </si>
  <si>
    <t xml:space="preserve">Crise: </t>
  </si>
  <si>
    <t xml:space="preserve">consequence d'un event</t>
  </si>
  <si>
    <t xml:space="preserve">create/execute: threat-driven playbooks: assess impact on the business</t>
  </si>
  <si>
    <t xml:space="preserve">situation d'instab/incertitude pouvant </t>
  </si>
  <si>
    <t xml:space="preserve">interrompre la prestation de services de la banque</t>
  </si>
  <si>
    <t xml:space="preserve">Investigate all incidents: know the basics</t>
  </si>
  <si>
    <t xml:space="preserve">occasioner une perte financiere</t>
  </si>
  <si>
    <t xml:space="preserve">know how to communicate: channels testing</t>
  </si>
  <si>
    <t xml:space="preserve">compromettre la reputation </t>
  </si>
  <si>
    <t xml:space="preserve">occasioner des impacts severes sur les activites, clients et employes</t>
  </si>
  <si>
    <t xml:space="preserve">changement important: </t>
  </si>
  <si>
    <t xml:space="preserve">changement de strategie de CA</t>
  </si>
  <si>
    <t xml:space="preserve">DIMA</t>
  </si>
  <si>
    <t xml:space="preserve">Delai Interruption Maximum Acceptable</t>
  </si>
  <si>
    <t xml:space="preserve">Examen critique</t>
  </si>
  <si>
    <t xml:space="preserve">input/ouput lies au  processus de CA et GC de la banque</t>
  </si>
  <si>
    <t xml:space="preserve">- Evaluations d'impact: niveau de priorite des activites/processus au sein de la banque</t>
  </si>
  <si>
    <t xml:space="preserve">- PCA</t>
  </si>
  <si>
    <t xml:space="preserve">- Strategie et resultats des mises a l'essai (Tests)</t>
  </si>
  <si>
    <t xml:space="preserve">groupe de Processus</t>
  </si>
  <si>
    <t xml:space="preserve">plus haut niveau d'activites des affaires</t>
  </si>
  <si>
    <t xml:space="preserve">processus</t>
  </si>
  <si>
    <t xml:space="preserve">groupe de ss-processus: sys organise d'activites intrant -&gt; extrant </t>
  </si>
  <si>
    <t xml:space="preserve">infra techno</t>
  </si>
  <si>
    <t xml:space="preserve">equipement : reseau, techno ou bureautique, composantes applicatives</t>
  </si>
  <si>
    <t xml:space="preserve">Manuel d'intervention ou Playbook</t>
  </si>
  <si>
    <t xml:space="preserve">modalite de deploiements + fonctionement de la cellule de crise et CA team</t>
  </si>
  <si>
    <t xml:space="preserve">mise a l'essai</t>
  </si>
  <si>
    <t xml:space="preserve">exercice de simulation selon scenario -&gt; tester le plan CA / plan de releve techno</t>
  </si>
  <si>
    <t xml:space="preserve">Mode reduit</t>
  </si>
  <si>
    <t xml:space="preserve">Mode degrade</t>
  </si>
  <si>
    <t xml:space="preserve">Processus Critique</t>
  </si>
  <si>
    <t xml:space="preserve">processus dans le DIMA &lt; 72h </t>
  </si>
  <si>
    <t xml:space="preserve">Proprietaire de Plan:</t>
  </si>
  <si>
    <t xml:space="preserve">Gestionnaire(niveau 3) designe pour assumer la responsabilite de la CA</t>
  </si>
  <si>
    <t xml:space="preserve">Ressources Humaines Cles:</t>
  </si>
  <si>
    <t xml:space="preserve">possedant les competences minimales requises pour fonctionner en mode reduit</t>
  </si>
  <si>
    <t xml:space="preserve">et assurer la continuite des activites supportant les processus critiques</t>
  </si>
  <si>
    <t xml:space="preserve">RTO</t>
  </si>
  <si>
    <t xml:space="preserve">Recovery Time Objective: delai Souhaite pour la reprise des services TI critiques ds DIMA</t>
  </si>
  <si>
    <t xml:space="preserve">RC: Revue de Criticite:</t>
  </si>
  <si>
    <t xml:space="preserve">processus de revue des activites. Valider le DIMA des processus banque</t>
  </si>
  <si>
    <t xml:space="preserve">Secteur</t>
  </si>
  <si>
    <t xml:space="preserve">unite sous dirigeant (niveau 2)</t>
  </si>
  <si>
    <t xml:space="preserve">Site de CA:</t>
  </si>
  <si>
    <t xml:space="preserve">backup du site primaire. Relocalisation ds empoyes</t>
  </si>
  <si>
    <t xml:space="preserve">site primaire</t>
  </si>
  <si>
    <t xml:space="preserve">site de releve techno</t>
  </si>
  <si>
    <t xml:space="preserve">etablissement ou les infras techno sont releves</t>
  </si>
  <si>
    <t xml:space="preserve">Unite: </t>
  </si>
  <si>
    <t xml:space="preserve">ens des activites relevant d'un gestionnaire (niveau 4 )</t>
  </si>
  <si>
    <t xml:space="preserve">Risque Operationnel:</t>
  </si>
  <si>
    <t xml:space="preserve">inclut risque Juridique mais pas Risque Strategique et le risque d'atteinte a la reputation</t>
  </si>
  <si>
    <t xml:space="preserve">fraude, vol, trx non autaurises, sys error, human error, pratique de vente inadequate</t>
  </si>
  <si>
    <t xml:space="preserve">RPO</t>
  </si>
  <si>
    <t xml:space="preserve">acceptable latency of data that will not be recovered (2 days data)</t>
  </si>
  <si>
    <t xml:space="preserve">time to restore functions</t>
  </si>
  <si>
    <t xml:space="preserve">Sommaire:</t>
  </si>
  <si>
    <t xml:space="preserve">Les pratiques professionnelles pour les objectifs de continuité des activités de gestion</t>
  </si>
  <si>
    <t xml:space="preserve">1. Démarrage et gestion de programme</t>
  </si>
  <si>
    <t xml:space="preserve">Déterminer le besoin et le financement du programme de la gestion de continuité d’activités.</t>
  </si>
  <si>
    <t xml:space="preserve">Obtenir le soutien et le financement du programme de continuité des activités.</t>
  </si>
  <si>
    <t xml:space="preserve">Mettre en place un cadre organisationnel pour développer le programme de continuité des activités.</t>
  </si>
  <si>
    <t xml:space="preserve">Introduire les concepts clés, tels que la gestion du programme, la sensibilisation aux risques, l'identification des fonctions critiques / processus, des stratégies de rétablissement, la formation et la sensibilisation et des tests / exercices.</t>
  </si>
  <si>
    <t xml:space="preserve">2. Évaluation des risques</t>
  </si>
  <si>
    <t xml:space="preserve">Identifier les risques qui peuvent affecter négativement les ressources ou l'image d'une entité.</t>
  </si>
  <si>
    <t xml:space="preserve">Évaluer les risques pour déterminer les impacts potentiels sur l'entité, permettant à l'entité de déterminer l'utilisation la plus efficace des ressources pour réduire ces impacts potentiels.</t>
  </si>
  <si>
    <t xml:space="preserve">3. Bilan des impacts d'affaires</t>
  </si>
  <si>
    <t xml:space="preserve">Identifier et prioriser les fonctions et les processus de l'entité afin de déterminer lesquels auront le plus grand impact si elles ne sont pas disponibles.</t>
  </si>
  <si>
    <t xml:space="preserve">Évaluer les ressources nécessaires pour soutenir le processus du bilan des impacts d’affaires.</t>
  </si>
  <si>
    <t xml:space="preserve">Analyser les résultats pour déterminer les écarts entre les exigences de l'entité et sa capacité à fournir à ces exigences.</t>
  </si>
  <si>
    <t xml:space="preserve">4. Stratégies de continuité d’activités</t>
  </si>
  <si>
    <t xml:space="preserve">Choisir des stratégies rentables pour réduire les lacunes identifiées lors de l'évaluation des risques et de bilan des impacts d’affaires.</t>
  </si>
  <si>
    <t xml:space="preserve">5. Interventions d’urgence</t>
  </si>
  <si>
    <t xml:space="preserve">Développer et aider à la mise en place d'un système de gestion des incidents qui définit les rôles organisationnels, les lignes d'autorité et la succession d'autorité.</t>
  </si>
  <si>
    <t xml:space="preserve">Définir les besoins pour développer et mettre en œuvre le plan des interventions d’urgence.</t>
  </si>
  <si>
    <t xml:space="preserve">Assurez-vous que la réponse aux incidents est coordonnée avec les organismes extérieurs d'une manière efficace et en temps opportun, lorsque requis.</t>
  </si>
  <si>
    <t xml:space="preserve">6. Élaboration et mise en œuvre du plan</t>
  </si>
  <si>
    <t xml:space="preserve">Élaborer les plans à être utilisé lors d'un incident qui permettra à l'entité de continuer à fonctionner.</t>
  </si>
  <si>
    <t xml:space="preserve">7. Programmes de sensibilisation et de formation</t>
  </si>
  <si>
    <t xml:space="preserve">Établir et soutenir les programmes de sensibilisation et de formation qui ont pour effet d’aider le personnel à répondre à des incidents d'une manière calme et efficace.</t>
  </si>
  <si>
    <t xml:space="preserve">8. Exercice, évaluation et maintenance du Plan de continuité d’activités</t>
  </si>
  <si>
    <t xml:space="preserve">Mettre en place un programme d'exercice, d'évaluation et de maintenance pour maintenir un état de préparation.</t>
  </si>
  <si>
    <t xml:space="preserve">9. Communication de crise</t>
  </si>
  <si>
    <t xml:space="preserve">Fournir un cadre de référence pour l'élaboration d'un plan de communication de crise.</t>
  </si>
  <si>
    <t xml:space="preserve">Assurez-vous que le plan de communication de crise prévoira en temps opportun, une communication efficace avec les parties internes et externes.</t>
  </si>
  <si>
    <t xml:space="preserve">10. Coordination avec les agences externes</t>
  </si>
  <si>
    <t xml:space="preserve">Établir des politiques et des procédures pour coordonner les activités d’interventions d’urgence avec des entités publiques.</t>
  </si>
  <si>
    <t xml:space="preserve">Best Practices de DRII:  4 criteres:</t>
  </si>
  <si>
    <t xml:space="preserve"> resume witout notice</t>
  </si>
  <si>
    <t xml:space="preserve"> data stored off-site</t>
  </si>
  <si>
    <t xml:space="preserve"> within recovery time objective</t>
  </si>
  <si>
    <t xml:space="preserve"> without key personnel</t>
  </si>
  <si>
    <t xml:space="preserve">BCP: doc strategique formalise et mis a jour:</t>
  </si>
  <si>
    <t xml:space="preserve">planification de la reaction a une catastrophe/sinistre grave, </t>
  </si>
  <si>
    <t xml:space="preserve">Minimiser l'impact d'une crise/cata/</t>
  </si>
  <si>
    <t xml:space="preserve">Continuer a fournir les services vitaux;</t>
  </si>
  <si>
    <t xml:space="preserve">Resilience face a une crise;capacite a surmonter la crise:Mode degrade --&gt; reprise planifie des activites: service minimum:</t>
  </si>
  <si>
    <t xml:space="preserve">d'ou:maintenir un programme de gestion de la continuite des activites: </t>
  </si>
  <si>
    <t xml:space="preserve">1. Se projeter dans des evenements non planifies,</t>
  </si>
  <si>
    <t xml:space="preserve">2. Presumer que les sites sont indispos</t>
  </si>
  <si>
    <t xml:space="preserve">3. respecter un delai de reprise impose par metier.</t>
  </si>
  <si>
    <t xml:space="preserve">4. appliquer des procedures rodees.</t>
  </si>
  <si>
    <t xml:space="preserve">le plan: </t>
  </si>
  <si>
    <t xml:space="preserve">1. demarche existantes de type "Assurance Qualite" (etat des lieux: themes vitaux: 
securisation des locaux, ressources vitaux (info &amp; telecoms)</t>
  </si>
  <si>
    <t xml:space="preserve">2. protection personnel</t>
  </si>
  <si>
    <t xml:space="preserve">3. plan alertes et de secours, plans de crise et de reprise d'activites: </t>
  </si>
  <si>
    <t xml:space="preserve">4. gestion risque juridique &amp; assuranciel</t>
  </si>
  <si>
    <t xml:space="preserve">comment: </t>
  </si>
  <si>
    <t xml:space="preserve">- Analyse de vulnerabilite: forces, faiblesse + points critiques;</t>
  </si>
  <si>
    <t xml:space="preserve"> coordination+ tests reguliers par exercices/scenarios de crise.</t>
  </si>
  <si>
    <t xml:space="preserve">- communication: associer le personnel au organigramme fonctionnels, aux calendriers d'exercices et bilans..</t>
  </si>
  <si>
    <t xml:space="preserve"> plan de formation/comm : formation continue, enquete de perception/comprehension des acteurss, groupe de travail...</t>
  </si>
  <si>
    <t xml:space="preserve">- check list: ce qui est fait/ ce qui reste a faire.: sur audits, etude de risque et etudes d'impact.</t>
  </si>
  <si>
    <t xml:space="preserve">Amelioration continue :BC lifecycle:</t>
  </si>
  <si>
    <t xml:space="preserve"> Analyse -&gt; conception -&gt; Implementation -&gt; Tests -&gt; Maintenance -&gt; Analyse ..</t>
  </si>
  <si>
    <t xml:space="preserve"> </t>
  </si>
  <si>
    <t xml:space="preserve">Analyse de risque et de menaces lies aux installations: Scenarios de risques (approch preventive)</t>
  </si>
  <si>
    <t xml:space="preserve">quoi:</t>
  </si>
  <si>
    <t xml:space="preserve">Niveau de priorite des Unites et des Processus d'affaires</t>
  </si>
  <si>
    <t xml:space="preserve">1-</t>
  </si>
  <si>
    <t xml:space="preserve">Site inaccessible pour une periode &lt;= 10 B days</t>
  </si>
  <si>
    <t xml:space="preserve">s'effecture lors de la RC annuelle</t>
  </si>
  <si>
    <t xml:space="preserve">ts systemes, outils infos et autres equipements essentiels pas fonctionnels</t>
  </si>
  <si>
    <t xml:space="preserve">permet a la direction de prendre des decisions:</t>
  </si>
  <si>
    <t xml:space="preserve">2- </t>
  </si>
  <si>
    <t xml:space="preserve">systemes essentiels aux activites critiques indispo pour une periode minimale</t>
  </si>
  <si>
    <t xml:space="preserve">- allocation des ressources fin</t>
  </si>
  <si>
    <t xml:space="preserve">de 24 a 48 H ouvrables</t>
  </si>
  <si>
    <t xml:space="preserve">Etablir les strategies de CA</t>
  </si>
  <si>
    <t xml:space="preserve">3-</t>
  </si>
  <si>
    <t xml:space="preserve">absentiesme: 40% employes sont indispos</t>
  </si>
  <si>
    <t xml:space="preserve">Etablir le DIMA et l'ordre des remontee des infras techno lors d'interruption</t>
  </si>
  <si>
    <t xml:space="preserve">4- </t>
  </si>
  <si>
    <t xml:space="preserve">perte d'un tiers juge essentiel a la poursuite d'activites critiques et don’t</t>
  </si>
  <si>
    <t xml:space="preserve">l'intervention necessaire pour la mise en place d'un proc critique</t>
  </si>
  <si>
    <t xml:space="preserve">lors de RC, identifier/evaluer apres interruption des affaires:</t>
  </si>
  <si>
    <t xml:space="preserve">la Banque mesure periodiquement les risques/menaces lie a xxx menaces</t>
  </si>
  <si>
    <t xml:space="preserve">impacts: clientele, financiers, legaux, reglementaires, image pour chaque unite</t>
  </si>
  <si>
    <t xml:space="preserve">attribue une cote de risque en fonction de la probabilite d'occurrence et impacts</t>
  </si>
  <si>
    <t xml:space="preserve">risque installation:</t>
  </si>
  <si>
    <t xml:space="preserve">facteur pris en compte:</t>
  </si>
  <si>
    <t xml:space="preserve">resultats:</t>
  </si>
  <si>
    <t xml:space="preserve">Cote de 5 tiers: (de priorite)</t>
  </si>
  <si>
    <t xml:space="preserve">nature des actifs de la banque ds ces installations</t>
  </si>
  <si>
    <t xml:space="preserve">Critic:</t>
  </si>
  <si>
    <t xml:space="preserve">niveau de criticite des processus vises</t>
  </si>
  <si>
    <t xml:space="preserve">T1: &lt; 4h , T2: 5-24H, T3: 25-48H, T4: 49-72H</t>
  </si>
  <si>
    <t xml:space="preserve">nombre d'employes</t>
  </si>
  <si>
    <t xml:space="preserve">Non Critic: </t>
  </si>
  <si>
    <t xml:space="preserve">T5: &gt;= 73h</t>
  </si>
  <si>
    <t xml:space="preserve">Strategie de CA:</t>
  </si>
  <si>
    <t xml:space="preserve">Plan de CA:</t>
  </si>
  <si>
    <t xml:space="preserve">Analyse des besoins:</t>
  </si>
  <si>
    <t xml:space="preserve">Etablir le DIMA de chacune des activites</t>
  </si>
  <si>
    <t xml:space="preserve">Implantation et documentation des strategies de CA</t>
  </si>
  <si>
    <t xml:space="preserve">identifier les besoins en ressources: humaines/materielles/techno</t>
  </si>
  <si>
    <t xml:space="preserve">contient: modalite de transport des employes vers le site </t>
  </si>
  <si>
    <t xml:space="preserve">pour minimiser les impacts apres interruption selon les scenarios ci haut</t>
  </si>
  <si>
    <t xml:space="preserve">liste des fournisseurs critiques</t>
  </si>
  <si>
    <t xml:space="preserve">identifier les ressources minimales requises</t>
  </si>
  <si>
    <t xml:space="preserve">liste des applications/equipement critiques</t>
  </si>
  <si>
    <t xml:space="preserve">Elaboration strategie:</t>
  </si>
  <si>
    <t xml:space="preserve">identifier les solutions a haut niveau pour assurer la reprise en mode reduit</t>
  </si>
  <si>
    <t xml:space="preserve">liste des rapports/besoins: off-site docs backup (buz+proc)</t>
  </si>
  <si>
    <t xml:space="preserve">identifier les independances avec les autres unites , infras…</t>
  </si>
  <si>
    <t xml:space="preserve">Plan conserve a l'exterieur</t>
  </si>
  <si>
    <t xml:space="preserve">identifier la solution qui minimise le cout/benefice</t>
  </si>
  <si>
    <t xml:space="preserve">mis a l'essai des plans de CA</t>
  </si>
  <si>
    <t xml:space="preserve">releve techno:</t>
  </si>
  <si>
    <t xml:space="preserve">s'assurer que la releve techno repond au besoins</t>
  </si>
  <si>
    <t xml:space="preserve">mis a jour chaque Annee /\ apres 3 mois suivant un changement important</t>
  </si>
  <si>
    <t xml:space="preserve">delai de releve </t>
  </si>
  <si>
    <t xml:space="preserve">connexion avec le site primaire et le site des CA</t>
  </si>
  <si>
    <t xml:space="preserve">Gestion de crise:</t>
  </si>
  <si>
    <t xml:space="preserve">Analyse: </t>
  </si>
  <si>
    <t xml:space="preserve">Impact/Threat: analysis + impact scenarios</t>
  </si>
  <si>
    <t xml:space="preserve">Optimiser les interventions en temps de crise via des parametres efficaces</t>
  </si>
  <si>
    <t xml:space="preserve">BIA</t>
  </si>
  <si>
    <t xml:space="preserve">Buz Impact analysis</t>
  </si>
  <si>
    <t xml:space="preserve">si event(selon playbook), bureau de vice-presidence choisit le coordonnateur de la cellule de crise</t>
  </si>
  <si>
    <t xml:space="preserve">differentiation between: critical(urgent) Vs non Critical(non-urgent) activities/functions.</t>
  </si>
  <si>
    <t xml:space="preserve">le coordonnateur: designe les intervenants et applique les modalites du Playbook</t>
  </si>
  <si>
    <t xml:space="preserve">bureau de presidence: autorite de toute decision strategique sauf la comm</t>
  </si>
  <si>
    <t xml:space="preserve">faire etat des delais et enjeux: activer ou non la releve techno</t>
  </si>
  <si>
    <t xml:space="preserve">Crise financiere</t>
  </si>
  <si>
    <t xml:space="preserve">Plan de contingence et de redressement </t>
  </si>
  <si>
    <t xml:space="preserve">existe: plan de comm en temps de crise par service des affaires publiques</t>
  </si>
  <si>
    <t xml:space="preserve">Rapport</t>
  </si>
  <si>
    <t xml:space="preserve">fournir un rapport pour la direction des gestions des risques</t>
  </si>
  <si>
    <t xml:space="preserve">vue d'ensemble des risques lies a la continuites des affaires.</t>
  </si>
  <si>
    <t xml:space="preserve">1 er ligne de defense: </t>
  </si>
  <si>
    <t xml:space="preserve">chaque secteur: direction secteur et personnel</t>
  </si>
  <si>
    <t xml:space="preserve">mettre a jour les plans sectoriels developpes dans le cadre: HA/DR</t>
  </si>
  <si>
    <t xml:space="preserve">comprendre les processus de bout en bout</t>
  </si>
  <si>
    <t xml:space="preserve">2 eme ligne de defense:</t>
  </si>
  <si>
    <t xml:space="preserve">service CA GIR  + Gestion HD et de releve TI</t>
  </si>
  <si>
    <t xml:space="preserve">service Gestion livraison des services</t>
  </si>
  <si>
    <t xml:space="preserve">Effectuer un examen critique de la gestion des risques lies.</t>
  </si>
  <si>
    <t xml:space="preserve">3 eme ligne defense:</t>
  </si>
  <si>
    <t xml:space="preserve">Audit Interne</t>
  </si>
  <si>
    <t xml:space="preserve">BCP Conditions of Activation:</t>
  </si>
  <si>
    <t xml:space="preserve">BC Plan Components: </t>
  </si>
  <si>
    <t xml:space="preserve">Complements:</t>
  </si>
  <si>
    <t xml:space="preserve">Threats to people, facilities and Env requiring emergency response</t>
  </si>
  <si>
    <t xml:space="preserve">1.Business Resumption Plan</t>
  </si>
  <si>
    <t xml:space="preserve">No Deal with IT Infra</t>
  </si>
  <si>
    <t xml:space="preserve">Threats to Critical infra essential to the operations of the organization 
(facilities, energy, water utilities,IC Networks)</t>
  </si>
  <si>
    <t xml:space="preserve">2.Occupant Emergency Plan</t>
  </si>
  <si>
    <t xml:space="preserve">Threats to the operability of critical processes, supply and critical partnerships</t>
  </si>
  <si>
    <t xml:space="preserve">3.Continuity of operations plan</t>
  </si>
  <si>
    <t xml:space="preserve">4.Incident management Plan (IMP)</t>
  </si>
  <si>
    <t xml:space="preserve">Deal with IT Infra, pose les structures et procedures to adress Cyber Security
attacks, does not involve Activation of Disaster Recovery Plan</t>
  </si>
  <si>
    <t xml:space="preserve">Critical issues:</t>
  </si>
  <si>
    <t xml:space="preserve">5. Disaster recovery Plan (IT)</t>
  </si>
  <si>
    <t xml:space="preserve">1. Personnel Safety </t>
  </si>
  <si>
    <t xml:space="preserve">2. Environmental Safety </t>
  </si>
  <si>
    <t xml:space="preserve">3. Physical Security </t>
  </si>
  <si>
    <t xml:space="preserve">4. Cyber Security </t>
  </si>
  <si>
    <t xml:space="preserve">5. Identification of Critical personnel </t>
  </si>
  <si>
    <t xml:space="preserve">6. Identification of Critical assets </t>
  </si>
  <si>
    <t xml:space="preserve">7. Identification of Critical processes </t>
  </si>
  <si>
    <t xml:space="preserve">8. Identification of Vital Records </t>
  </si>
  <si>
    <t xml:space="preserve">9. Established Command Structure </t>
  </si>
  <si>
    <t xml:space="preserve">10. Managed Command Communications </t>
  </si>
  <si>
    <t xml:space="preserve">11. Managed Public Information and Safety Communications </t>
  </si>
  <si>
    <t xml:space="preserve">12. Managed Emergency mgmt and BCP Internal Communications </t>
  </si>
  <si>
    <t xml:space="preserve">13. Prioritization of Activities </t>
  </si>
  <si>
    <t xml:space="preserve">14. Training, Testing and Continual Improvement </t>
  </si>
  <si>
    <t xml:space="preserve">15. Timely Implementation</t>
  </si>
  <si>
    <t xml:space="preserve">Mettre en place un Vrai DRP:</t>
  </si>
  <si>
    <t xml:space="preserve">Complement</t>
  </si>
  <si>
    <t xml:space="preserve">1. Definir les Business-critical process ou Evaluation recurrente des BP critiques</t>
  </si>
  <si>
    <t xml:space="preserve">2. Prioriser les Business-critical process selon BIA &amp; Residual Risk</t>
  </si>
  <si>
    <t xml:space="preserve">Rr: Risk analysis {threats, vulnerabilities,safeguards}</t>
  </si>
  <si>
    <r>
      <rPr>
        <sz val="11"/>
        <color rgb="FF000000"/>
        <rFont val="Calibri"/>
        <family val="2"/>
        <charset val="1"/>
      </rPr>
      <t xml:space="preserve">3. Perform mondatory RT on process with</t>
    </r>
    <r>
      <rPr>
        <b val="true"/>
        <sz val="11"/>
        <color rgb="FFFF0000"/>
        <rFont val="Calibri"/>
        <family val="2"/>
        <charset val="1"/>
      </rPr>
      <t xml:space="preserve"> High Rr &amp; Catastrophic BIA</t>
    </r>
    <r>
      <rPr>
        <sz val="11"/>
        <color rgb="FF000000"/>
        <rFont val="Calibri"/>
        <family val="2"/>
        <charset val="1"/>
      </rPr>
      <t xml:space="preserve"> 
(is a non-Brainer, easily defensible to mgmt) use of Ranking matrices(5x5)</t>
    </r>
  </si>
  <si>
    <t xml:space="preserve">4. Follow a methodology : DRP bout en bout, min Costs, min disruption, 
high assurance in recov capabilities</t>
  </si>
  <si>
    <t xml:space="preserve">Evaluation of test: to input quality to DRP maintenance</t>
  </si>
  <si>
    <t xml:space="preserve">5. Follow DRP cycle testing: </t>
  </si>
  <si>
    <t xml:space="preserve">Checklist: </t>
  </si>
  <si>
    <t xml:space="preserve">Emergency call Tree Verification</t>
  </si>
  <si>
    <t xml:space="preserve">Key procedure validation</t>
  </si>
  <si>
    <t xml:space="preserve">hard/soft ware config doc</t>
  </si>
  <si>
    <t xml:space="preserve">availability of process specific ressources during DR Test </t>
  </si>
  <si>
    <t xml:space="preserve">enregistrer backup libraries (to complete)</t>
  </si>
  <si>
    <t xml:space="preserve">recovery plan and operational manuals OK</t>
  </si>
  <si>
    <t xml:space="preserve">Walk through: </t>
  </si>
  <si>
    <t xml:space="preserve">Specific steps as documented in the plan</t>
  </si>
  <si>
    <t xml:space="preserve">Simulation:</t>
  </si>
  <si>
    <t xml:space="preserve">skip</t>
  </si>
  <si>
    <t xml:space="preserve">Extensive travel, moving equipment, eliminating voice</t>
  </si>
  <si>
    <t xml:space="preserve">data communications</t>
  </si>
  <si>
    <t xml:space="preserve">Parallel:</t>
  </si>
  <si>
    <t xml:space="preserve">Historical data of T-1 to be really tested</t>
  </si>
  <si>
    <t xml:space="preserve">full interruption:</t>
  </si>
  <si>
    <t xml:space="preserve">activate DR Plan test.</t>
  </si>
  <si>
    <t xml:space="preserve">1-Put good Governance in place:</t>
  </si>
  <si>
    <t xml:space="preserve">Data Classification:</t>
  </si>
  <si>
    <t xml:space="preserve">pas ds FCA</t>
  </si>
  <si>
    <t xml:space="preserve">top down approach: CR in exec agenda,educate, useful format infos</t>
  </si>
  <si>
    <t xml:space="preserve">make it simple: language, champions recruit</t>
  </si>
  <si>
    <t xml:space="preserve">obj securite de l'info</t>
  </si>
  <si>
    <t xml:space="preserve">Dommage potentiel(risk)</t>
  </si>
  <si>
    <t xml:space="preserve">classification</t>
  </si>
  <si>
    <t xml:space="preserve">niveau</t>
  </si>
  <si>
    <t xml:space="preserve">think bigger: who target buz, why, how, risk &amp; ctrl link, use existing stds</t>
  </si>
  <si>
    <t xml:space="preserve">Confidentialite</t>
  </si>
  <si>
    <t xml:space="preserve">Divulgation</t>
  </si>
  <si>
    <t xml:space="preserve">sensibilite</t>
  </si>
  <si>
    <t xml:space="preserve">Public,Interne,confidentiel, Secret</t>
  </si>
  <si>
    <t xml:space="preserve">Integrite</t>
  </si>
  <si>
    <t xml:space="preserve">Modification, Alteration</t>
  </si>
  <si>
    <t xml:space="preserve">Criticite</t>
  </si>
  <si>
    <t xml:space="preserve">Faible, Moyen, Eleve</t>
  </si>
  <si>
    <t xml:space="preserve">2- what u need to protect:</t>
  </si>
  <si>
    <t xml:space="preserve">Disponibilite</t>
  </si>
  <si>
    <t xml:space="preserve">Destruction</t>
  </si>
  <si>
    <t xml:space="preserve">what u already know: one overview is the wrong view</t>
  </si>
  <si>
    <t xml:space="preserve">who u work with: business, eco-system</t>
  </si>
  <si>
    <t xml:space="preserve">use Buz Impact Analysis: BIA of business continuity</t>
  </si>
  <si>
    <t xml:space="preserve">know ur business</t>
  </si>
  <si>
    <t xml:space="preserve">3- protect ur assets appropriately:</t>
  </si>
  <si>
    <t xml:space="preserve">invest in training: continuig training, be targeted</t>
  </si>
  <si>
    <t xml:space="preserve">manage ur 3rd-party supplies</t>
  </si>
  <si>
    <t xml:space="preserve">use encryption</t>
  </si>
  <si>
    <t xml:space="preserve">be aware of vulnerabilities: prioritize/fix, no need to re-invent the weel</t>
  </si>
  <si>
    <t xml:space="preserve">ie): existing security conf stds: CIS NCSC</t>
  </si>
  <si>
    <t xml:space="preserve">make cyber security part of your change management process</t>
  </si>
  <si>
    <t xml:space="preserve">4- use good detection systems:</t>
  </si>
  <si>
    <t xml:space="preserve">tackle insider threat: identity&amp;access management processes, know </t>
  </si>
  <si>
    <t xml:space="preserve">ur privileges, monitor behaviour: behaviour analysis</t>
  </si>
  <si>
    <t xml:space="preserve">effective monitoring regime: Logs</t>
  </si>
  <si>
    <t xml:space="preserve">5- aware of emeging threats and issues</t>
  </si>
  <si>
    <t xml:space="preserve">alert to emeging threats and issues</t>
  </si>
  <si>
    <t xml:space="preserve">forums, plausible scenarios, learn from others</t>
  </si>
  <si>
    <t xml:space="preserve">6- ready to respond and cover</t>
  </si>
  <si>
    <t xml:space="preserve">create scenario-led exercices:</t>
  </si>
  <si>
    <t xml:space="preserve">Test plausible scenarios, make recovery decisions before an incident happens</t>
  </si>
  <si>
    <t xml:space="preserve">lessons learnt</t>
  </si>
  <si>
    <t xml:space="preserve">know the basics, investigate incidents</t>
  </si>
  <si>
    <t xml:space="preserve">communicate internally and externally: testing communication channels</t>
  </si>
  <si>
    <t xml:space="preserve">7- test and refine your defences:</t>
  </si>
  <si>
    <t xml:space="preserve">create a comprehensive framework:</t>
  </si>
  <si>
    <t xml:space="preserve">continual improvement, emulate the threat,testing approach(users), no assumptions</t>
  </si>
  <si>
    <t xml:space="preserve">invest on testing/training staff:</t>
  </si>
  <si>
    <t xml:space="preserve">make reporting easy, passwd testing, </t>
  </si>
  <si>
    <t xml:space="preserve">continous development: areas of weakness, provide staff training: </t>
  </si>
  <si>
    <t xml:space="preserve">re-assess the areas to test effectiveness of the program.</t>
  </si>
  <si>
    <t xml:space="preserve">IIROC Incident Mgmt</t>
  </si>
  <si>
    <t xml:space="preserve">1- plan and prepare</t>
  </si>
  <si>
    <t xml:space="preserve">security awarness, incident response team formed, apply safguards, test the plan</t>
  </si>
  <si>
    <t xml:space="preserve">2- Detect and report:</t>
  </si>
  <si>
    <t xml:space="preserve">monitor security systems, detect cyber incidents</t>
  </si>
  <si>
    <t xml:space="preserve">3- assess and Decide:</t>
  </si>
  <si>
    <t xml:space="preserve">incident ? Triage and prioritize</t>
  </si>
  <si>
    <t xml:space="preserve">4- respond:</t>
  </si>
  <si>
    <t xml:space="preserve">contain, eradicate, recover from and forensically analyze the inciden</t>
  </si>
  <si>
    <t xml:space="preserve">5- Post incident activity:</t>
  </si>
  <si>
    <t xml:space="preserve">post mortem, lessons learned, continous improvement</t>
  </si>
  <si>
    <t xml:space="preserve">Glossary</t>
  </si>
  <si>
    <t xml:space="preserve">CBI </t>
  </si>
  <si>
    <t xml:space="preserve">Business continuity</t>
  </si>
  <si>
    <t xml:space="preserve"> The capability of the organisation to continue delivery of products or services at acceptable predefined levels following a disruptive incident.</t>
  </si>
  <si>
    <t xml:space="preserve">Cyber-attack</t>
  </si>
  <si>
    <t xml:space="preserve"> The use of an exploit by an adversary to take advantage of a weakness(es) with the intent of achieving an adverse effect on the IT environment.</t>
  </si>
  <si>
    <t xml:space="preserve">Cyber risk</t>
  </si>
  <si>
    <t xml:space="preserve"> The combination of the probability of an event occurring within the realm of a firm’s or person’s information assets, 
computer and communication resources and the consequences of that event for a firm or person.</t>
  </si>
  <si>
    <t xml:space="preserve">Cybersecurity</t>
  </si>
  <si>
    <t xml:space="preserve"> Refers to the set of controls and organisational measures and means (human, technical, etc.) used to protect information system assets 
and communication networks against all non-physical attacks, irrespective of the attack being initiated through a physical or logical security breach. 
Controls and measures include preventing, detecting and responding to all malicious IT activities perpetrated to information system assets, 
potentially affecting systems or data confidentiality, integrity or availability, as well as the traceability of operations executed on these information systems and networks.</t>
  </si>
  <si>
    <t xml:space="preserve">Cybersecurity risk management</t>
  </si>
  <si>
    <t xml:space="preserve"> The process used by a firm to establish an enterprise-wide framework to manage the likelihood of a cyber-attack and develop strategies to 
mitigate, respond to, learn from and coordinate its response to the impact of a cyber-attack. 
The management of a firm’s cyber-risk should support the business processes and be integrated into the firm’s overall risk management framework.</t>
  </si>
  <si>
    <t xml:space="preserve">Cloud services</t>
  </si>
  <si>
    <t xml:space="preserve"> Services utilising the storing, processing and usage of data on remotely-located computers, accessed via the internet</t>
  </si>
  <si>
    <t xml:space="preserve">Disaster recovery</t>
  </si>
  <si>
    <t xml:space="preserve"> The process of rebuilding business operations or infrastructure after the disaster has passed</t>
  </si>
  <si>
    <t xml:space="preserve">IT inventory of assets</t>
  </si>
  <si>
    <t xml:space="preserve"> A comprehensive, regularly updated record of IT assets (including hardware, software, databases, connectivity arrangements and external services) employed by 
the Financial Firm and the policies for their operation, maintenance, upgrade and monitoring</t>
  </si>
  <si>
    <t xml:space="preserve">IT risk register</t>
  </si>
  <si>
    <t xml:space="preserve"> A regularly updated listing of the attributes of known and potential IT risks that could affect the firm. At a minimum, the register should detail the likelihood 
and potential business impact of each risk materialising, and the owner of each IT risk type within the firm</t>
  </si>
  <si>
    <t xml:space="preserve">Information assets</t>
  </si>
  <si>
    <t xml:space="preserve"> refer to data, hardware, software, networks or other elements of a firm’s IT landscape that support information-related activities.</t>
  </si>
  <si>
    <t xml:space="preserve">Operational risk</t>
  </si>
  <si>
    <t xml:space="preserve"> Operational risk is the possibility of negative financial, business and/or reputational impact resulting from inadequate or 
failed internal governance and business processes, people, systems, or from external events.</t>
  </si>
  <si>
    <t xml:space="preserve">Outsourcing</t>
  </si>
  <si>
    <t xml:space="preserve"> an authorised entity’s use of a third party (the “outsourcing service provider”) to perform activities that would normally be undertaken by the authorised entity, now or in the future. 
The supplier may itself be an authorised or unauthorised entity.</t>
  </si>
  <si>
    <t xml:space="preserve">Outsourcing service provider</t>
  </si>
  <si>
    <t xml:space="preserve"> the supplier of goods, services or facilities, which may or may not be an authorised entity, and which may be an affiliated entity within a corporate group or an entity that is external to the group</t>
  </si>
  <si>
    <t xml:space="preserve">Risk appetite</t>
  </si>
  <si>
    <t xml:space="preserve"> The aggregate level and types of risk an organisation is willing to assume within its risk capacity to achieve its strategic objectives and business plan</t>
  </si>
  <si>
    <t xml:space="preserve">Security event</t>
  </si>
  <si>
    <t xml:space="preserve"> Any observable occurrence in a system and/or network. Events sometimes provide an indication that an incident is occurring</t>
  </si>
  <si>
    <t xml:space="preserve">Security incident</t>
  </si>
  <si>
    <t xml:space="preserve"> An assessed occurrence that actually or potentially jeopardizes the confidentiality, integrity, or availability of an information system; or the information 
the system processes, stores, or transmits; or that constitutes a violation or imminent threat of violation of security policies, security procedures, or acceptable use policies.</t>
  </si>
  <si>
    <t xml:space="preserve">Vulnerability</t>
  </si>
  <si>
    <t xml:space="preserve"> A weakness in a system, application, or network that is subject to exploitation or misuse</t>
  </si>
  <si>
    <t xml:space="preserve">Technology Resilience</t>
  </si>
  <si>
    <t xml:space="preserve">is the broad consideration of the technology, people and processes to provide a robust operating env for the organisation to function(BC and DR)</t>
  </si>
  <si>
    <t xml:space="preserve">Cyber Resilience</t>
  </si>
  <si>
    <t xml:space="preserve">A firm's ability to anticipate, absorb, adapt to, rapidly respond to and recover from the disruption caused by a cyber attack</t>
  </si>
  <si>
    <t xml:space="preserve">FCA</t>
  </si>
  <si>
    <t xml:space="preserve">business continuity management</t>
  </si>
  <si>
    <t xml:space="preserve">holistic management process that identifies potential threats to an organization and the impacts to business operations those threats, if realized, might cause, and which provides a framework for building organizational resilience with the capability of an effective response that safeguards the interests of its key stakeholders, reputation, brand and value-creating activities</t>
  </si>
  <si>
    <t xml:space="preserve">
ISO 22301:2012</t>
  </si>
  <si>
    <t xml:space="preserve">business continuity plan</t>
  </si>
  <si>
    <t xml:space="preserve">documented procedures that guide organizations to respond, recover, resume, and restore to a pre-defined level of operation following disruption</t>
  </si>
  <si>
    <t xml:space="preserve">business impact analysis</t>
  </si>
  <si>
    <t xml:space="preserve">process of analysing activities and the effect that a business disruption might have upon them</t>
  </si>
  <si>
    <t xml:space="preserve">business services</t>
  </si>
  <si>
    <t xml:space="preserve">products and services that a firm or FMI provides to its customers. These will vary by firm or FMI, but examples could include the delivery and management of particular loan or insurance products</t>
  </si>
  <si>
    <t xml:space="preserve">BoE/PRA Discussion Paper 1/18 | FCA Discussion Paper 18/04</t>
  </si>
  <si>
    <t xml:space="preserve">operational resilience</t>
  </si>
  <si>
    <t xml:space="preserve">operational resilience refers to the ability of firms, FMIs and the system as a whole to prevent, adapt and respond to, recover and learn from, operational disruption</t>
  </si>
  <si>
    <t xml:space="preserve">BoE/PRA DP 1/18 | FCA DP 18/04</t>
  </si>
  <si>
    <t xml:space="preserve">change lifecycle</t>
  </si>
  <si>
    <t xml:space="preserve">e.g. from planning and prioritisation, to risk assessments, testing and implementation</t>
  </si>
  <si>
    <t xml:space="preserve">change management</t>
  </si>
  <si>
    <t xml:space="preserve">the practice of applying a structured approach to transition an organisation from a current state to a future state to achieve expected benefits</t>
  </si>
  <si>
    <t xml:space="preserve">ACMP Standard for Change Management 2014</t>
  </si>
  <si>
    <t xml:space="preserve">control</t>
  </si>
  <si>
    <t xml:space="preserve">measure that maintains and/or modifies risk </t>
  </si>
  <si>
    <t xml:space="preserve">ISO 31000:2018</t>
  </si>
  <si>
    <t xml:space="preserve">environmental control</t>
  </si>
  <si>
    <t xml:space="preserve">application of engineering and/or procedural systems to maintain conditions in defined areas within specified limits</t>
  </si>
  <si>
    <t xml:space="preserve">ISO 17665:2006</t>
  </si>
  <si>
    <t xml:space="preserve">third party</t>
  </si>
  <si>
    <t xml:space="preserve">vendors, suppliers, outsourcers and intra-group arrangements that provide a service which contributes to the provision of one or more business services</t>
  </si>
  <si>
    <t xml:space="preserve">risk and control self-assessment</t>
  </si>
  <si>
    <t xml:space="preserve">a process by which the firm evaluates inherent risks, the effectiveness of control environment and residual risk</t>
  </si>
  <si>
    <t xml:space="preserve">BCBS : Principles for the sound management of Operational Risk ( June 2011)</t>
  </si>
  <si>
    <t xml:space="preserve">resilience capability</t>
  </si>
  <si>
    <t xml:space="preserve">a cluster of related resilience practices in an area that, when implemented collectively, satisfy a set of resilience objectives considered important for making improvement in that area</t>
  </si>
  <si>
    <t xml:space="preserve">CERT RMM v1.1</t>
  </si>
  <si>
    <t xml:space="preserve">service continuity</t>
  </si>
  <si>
    <r>
      <rPr>
        <b val="true"/>
        <sz val="11"/>
        <color rgb="FF0D0D0D"/>
        <rFont val="Calibri"/>
        <family val="2"/>
        <charset val="1"/>
      </rPr>
      <t xml:space="preserve">capability to deliver a service without interruption, or with consistent availability as agreed
</t>
    </r>
    <r>
      <rPr>
        <b val="true"/>
        <i val="true"/>
        <sz val="11"/>
        <color rgb="FF000000"/>
        <rFont val="Calibri"/>
        <family val="2"/>
        <charset val="1"/>
      </rPr>
      <t xml:space="preserve">Service continuity management can be a subset of business continuity management.</t>
    </r>
  </si>
  <si>
    <t xml:space="preserve">ISO 20000-10:2018</t>
  </si>
  <si>
    <t xml:space="preserve">Management of Outsourcing Arrangement</t>
  </si>
  <si>
    <t xml:space="preserve">At Inception/throughout the LC of the arrgt Consider </t>
  </si>
  <si>
    <t xml:space="preserve">Governance</t>
  </si>
  <si>
    <t xml:space="preserve">Risk Mgmt</t>
  </si>
  <si>
    <t xml:space="preserve">BC</t>
  </si>
  <si>
    <t xml:space="preserve">Board Awarness &amp; Ctrl</t>
  </si>
  <si>
    <t xml:space="preserve">Rely on 1st /2 nd line of defense</t>
  </si>
  <si>
    <t xml:space="preserve">1. BC Testing: </t>
  </si>
  <si>
    <t xml:space="preserve">Outs. Strategy &amp; Policy</t>
  </si>
  <si>
    <t xml:space="preserve">1.Risk Assessment: Inherent risk identified,assessed,managed</t>
  </si>
  <si>
    <t xml:space="preserve">Tests &amp; Reviews (osp's BCP &amp; DRP )</t>
  </si>
  <si>
    <t xml:space="preserve">Responsibility &amp; Oversight</t>
  </si>
  <si>
    <r>
      <rPr>
        <sz val="11"/>
        <color rgb="FF000000"/>
        <rFont val="Calibri"/>
        <family val="2"/>
        <charset val="1"/>
      </rPr>
      <t xml:space="preserve">2.Due Diligence:</t>
    </r>
    <r>
      <rPr>
        <sz val="11"/>
        <color rgb="FFFF0000"/>
        <rFont val="Calibri"/>
        <family val="2"/>
        <charset val="1"/>
      </rPr>
      <t xml:space="preserve">(contexte Normal &amp; Stressed)</t>
    </r>
  </si>
  <si>
    <t xml:space="preserve">Own BCP w/ Osp Testing</t>
  </si>
  <si>
    <t xml:space="preserve">Contractual Arrgt</t>
  </si>
  <si>
    <t xml:space="preserve">- Service Quality</t>
  </si>
  <si>
    <t xml:space="preserve">2. Exit Strategies: </t>
  </si>
  <si>
    <t xml:space="preserve">SLA,KPI,Chain Outs,Confidentials infos</t>
  </si>
  <si>
    <t xml:space="preserve">- Service Reliability </t>
  </si>
  <si>
    <t xml:space="preserve">TimeFrame: to Transfer services</t>
  </si>
  <si>
    <t xml:space="preserve">- Security </t>
  </si>
  <si>
    <t xml:space="preserve">Contingency plan: to cover interim period</t>
  </si>
  <si>
    <t xml:space="preserve">- BC</t>
  </si>
  <si>
    <t xml:space="preserve">[invoke Xit Strgy,Ultimate Transfer]</t>
  </si>
  <si>
    <t xml:space="preserve">3.Critical &amp; important arrgt include KRI</t>
  </si>
  <si>
    <t xml:space="preserve">(timeframe Significant)</t>
  </si>
  <si>
    <t xml:space="preserve">3.Oversee/Understand DataFlows for </t>
  </si>
  <si>
    <t xml:space="preserve">critical business fcts</t>
  </si>
  <si>
    <t xml:space="preserve">Z!: </t>
  </si>
  <si>
    <t xml:space="preserve">Poor Governance</t>
  </si>
  <si>
    <t xml:space="preserve">Poor Control </t>
  </si>
  <si>
    <t xml:space="preserve">Failure to consider OSP in BC (plan &amp; Test)</t>
  </si>
  <si>
    <t xml:space="preserve">inadequate monitoring/reporting</t>
  </si>
  <si>
    <t xml:space="preserve">Lack of : Xit Strategy, Contingency Plan</t>
  </si>
  <si>
    <t xml:space="preserve">(Weaken resilience)</t>
  </si>
  <si>
    <t xml:space="preserve">++ Critical national Infra (telecom,power)</t>
  </si>
  <si>
    <t xml:space="preserve">Evolving Area of Outsourcing</t>
  </si>
  <si>
    <t xml:space="preserve">Partnership w/ Fintech</t>
  </si>
  <si>
    <t xml:space="preserve">Csp (cloud)</t>
  </si>
  <si>
    <t xml:space="preserve">Partnership w/ regtech</t>
  </si>
  <si>
    <t xml:space="preserve">Data Protection</t>
  </si>
  <si>
    <t xml:space="preserve">Location Geo</t>
  </si>
  <si>
    <t xml:space="preserve">Security Issues</t>
  </si>
  <si>
    <t xml:space="preserve">Concentration Risk</t>
  </si>
  <si>
    <t xml:space="preserve">Systemic Risk(cyber risk)</t>
  </si>
  <si>
    <t xml:space="preserve">Risk Mgmt Keys</t>
  </si>
  <si>
    <t xml:space="preserve">Offshoring(Ctry) Risk</t>
  </si>
  <si>
    <t xml:space="preserve">1. Visibility Risk: </t>
  </si>
  <si>
    <t xml:space="preserve">Lack of diversification</t>
  </si>
  <si>
    <t xml:space="preserve">Substitutability Risk</t>
  </si>
  <si>
    <t xml:space="preserve">Sensitive Data Risk</t>
  </si>
  <si>
    <t xml:space="preserve">Sub-contracting risk</t>
  </si>
  <si>
    <t xml:space="preserve">Distance &gt;&gt;1, SLA's, KPI Monitoring</t>
  </si>
  <si>
    <t xml:space="preserve">(top 100 OSP,How much contract)</t>
  </si>
  <si>
    <t xml:space="preserve">Xit Strategies??</t>
  </si>
  <si>
    <t xml:space="preserve">Business Sensitive Data</t>
  </si>
  <si>
    <t xml:space="preserve">Chain Outsourcing</t>
  </si>
  <si>
    <t xml:space="preserve">2. Access Risk: Garantir l'acces</t>
  </si>
  <si>
    <t xml:space="preserve">Who is the winner ?</t>
  </si>
  <si>
    <t xml:space="preserve">Contingency Planning</t>
  </si>
  <si>
    <t xml:space="preserve">Customer Sensitive Data</t>
  </si>
  <si>
    <t xml:space="preserve">(Carry out the necessary QA)</t>
  </si>
  <si>
    <t xml:space="preserve">Consent of subcontracting ?</t>
  </si>
  <si>
    <t xml:space="preserve">(timeframe)</t>
  </si>
  <si>
    <t xml:space="preserve">(client, Empl, commercial)</t>
  </si>
  <si>
    <t xml:space="preserve">3. Country Risk: </t>
  </si>
  <si>
    <t xml:space="preserve">(Evoid indirect Concentration risk)</t>
  </si>
  <si>
    <t xml:space="preserve">Type of Mgmt: </t>
  </si>
  <si>
    <t xml:space="preserve">regulatory env, political climate,</t>
  </si>
  <si>
    <t xml:space="preserve">- appropriate storage</t>
  </si>
  <si>
    <t xml:space="preserve">physical climate, cultural risk,</t>
  </si>
  <si>
    <t xml:space="preserve">- Retention</t>
  </si>
  <si>
    <r>
      <rPr>
        <b val="true"/>
        <sz val="11"/>
        <color rgb="FFFF0000"/>
        <rFont val="Calibri"/>
        <family val="2"/>
        <charset val="1"/>
      </rPr>
      <t xml:space="preserve">Timezone</t>
    </r>
    <r>
      <rPr>
        <b val="true"/>
        <sz val="11"/>
        <color rgb="FF000000"/>
        <rFont val="Calibri"/>
        <family val="2"/>
        <charset val="1"/>
      </rPr>
      <t xml:space="preserve">, empl conditions (H rights)</t>
    </r>
  </si>
  <si>
    <t xml:space="preserve">- Destruction</t>
  </si>
  <si>
    <t xml:space="preserve">social env )</t>
  </si>
  <si>
    <t xml:space="preserve">1.Security Risk: </t>
  </si>
  <si>
    <t xml:space="preserve">Data Loss (Availability)</t>
  </si>
  <si>
    <t xml:space="preserve">Alteration/corruption (Integrity)</t>
  </si>
  <si>
    <t xml:space="preserve">Unauthorised access (Confidentiality)</t>
  </si>
  <si>
    <t xml:space="preserve">2. Data Mgmt Strategy Risk: </t>
  </si>
  <si>
    <t xml:space="preserve">- Back-up, Recovery, Security protocols</t>
  </si>
  <si>
    <t xml:space="preserve">, encryption std, access mgmt, legal req</t>
  </si>
  <si>
    <t xml:space="preserve">- Audit osp Storage</t>
  </si>
  <si>
    <t xml:space="preserve">- AM @ Osp </t>
  </si>
  <si>
    <t xml:space="preserve"> -Data location(storage, computing)</t>
  </si>
  <si>
    <t xml:space="preserve">Questions #</t>
  </si>
  <si>
    <t xml:space="preserve">Is there a BC/DR Program that has been approved by management, communicated to appropriate constituents and an owner or group to maintain and review the plan? If yes ,does it include:_x005F_x000D_
</t>
  </si>
  <si>
    <t xml:space="preserve">Does your firm use FinTech partnershipds as part of your Strategy/Business Model</t>
  </si>
  <si>
    <t xml:space="preserve"> - Maintenance schedule to revise and test the plan?</t>
  </si>
  <si>
    <t xml:space="preserve">Does your firm use RegTech partnershipds as part of your Strategy/Business Model</t>
  </si>
  <si>
    <t xml:space="preserve"> - Roles and responsibilities for those who invoke and execute the plan?</t>
  </si>
  <si>
    <t xml:space="preserve">is there an outsourcing Policy with an associated Risk management Framework in place</t>
  </si>
  <si>
    <t xml:space="preserve"> - Identification of applications, equipment, facilities, personnel, supplies and vital records necessary for recovery?</t>
  </si>
  <si>
    <t xml:space="preserve">was the outsourcing Policy approved by the Board</t>
  </si>
  <si>
    <t xml:space="preserve">- Resumption procedures to return to normal business operations?</t>
  </si>
  <si>
    <t xml:space="preserve">are there plans to contract with further service providers in the next 12 to 18 months</t>
  </si>
  <si>
    <t xml:space="preserve"> - Is there an annual schedule of required tests? "</t>
  </si>
  <si>
    <t xml:space="preserve">Number of Cloud Service providers</t>
  </si>
  <si>
    <t xml:space="preserve">Details of Outsourced Services</t>
  </si>
  <si>
    <t xml:space="preserve">Is a Business Impact Analysis conducted at least annually?</t>
  </si>
  <si>
    <t xml:space="preserve">Provide the Category of outsourced Services</t>
  </si>
  <si>
    <t xml:space="preserve">When was your last Disaster Recovery test? </t>
  </si>
  <si>
    <t xml:space="preserve">Brief description of outsourced Service</t>
  </si>
  <si>
    <t xml:space="preserve">Are all your suppliers of critical hardware, network services and facility services involved in annual continuity and recovery tests?</t>
  </si>
  <si>
    <t xml:space="preserve">Type of outsourcing</t>
  </si>
  <si>
    <t xml:space="preserve">Category (SP or Sub-contractor)</t>
  </si>
  <si>
    <t xml:space="preserve">Materiality Assessment</t>
  </si>
  <si>
    <t xml:space="preserve">Please state whether the service outsourced is considered material or non material to your firm(important ou pas: tiering)</t>
  </si>
  <si>
    <t xml:space="preserve">Please describe the criteria used in determining materiality ? How frequently does the firm perform materiality assessments ?</t>
  </si>
  <si>
    <t xml:space="preserve">Does the outsourced/sub-contracted service provider support a critical business operation</t>
  </si>
  <si>
    <t xml:space="preserve">Contractuel Arrangements</t>
  </si>
  <si>
    <t xml:space="preserve">Is There a written contract in place relating to the outsourced service ?</t>
  </si>
  <si>
    <t xml:space="preserve">is there a Service Level Agreement ("SLA") in place relating to the Outsourced Service </t>
  </si>
  <si>
    <t xml:space="preserve">Where was the Outsourcing Agreement/Service Level  Agreement last reviewed ? KPI's ?</t>
  </si>
  <si>
    <t xml:space="preserve">Does your Outsourcing Agreement/Service Level Agreement contain provisions to manage the use of sub-contractors </t>
  </si>
  <si>
    <t xml:space="preserve">Total Number of outsourced Service arrangments in place (voir le risk de concentration w/ toute la liste: voir les top 100 comme KP)</t>
  </si>
  <si>
    <t xml:space="preserve">Total number of material and critical outsourced arrangements in place (pourcentage Critique)</t>
  </si>
  <si>
    <t xml:space="preserve">Where the firm is an OSP for other financial services firms, please provide a brief description of the services offered</t>
  </si>
  <si>
    <t xml:space="preserve">Consent to Subcontracting if does exist ? What services are sub outsourced ? </t>
  </si>
  <si>
    <t xml:space="preserve">Data Risk</t>
  </si>
  <si>
    <t xml:space="preserve">Does the SP/sub-contractor store or process Customer Info which in the event of any unauthorised access or disclosure, 
loss or theft of the infos, may have a material impact on the customer</t>
  </si>
  <si>
    <t xml:space="preserve">Does the SP/sub-contractor store or process Business Sensitive or critical Data which in the event of any unauthorised access or disclosure, 
loss or theft of the infos, may have a material impact on the firm</t>
  </si>
  <si>
    <t xml:space="preserve">Does the Data Security Risk covered ? CIA principle (Unauthorized access,alteration/corruption,data Loss)</t>
  </si>
  <si>
    <t xml:space="preserve">How is data Mgmt Data risk covered ? </t>
  </si>
  <si>
    <t xml:space="preserve">Offshoring Risk</t>
  </si>
  <si>
    <t xml:space="preserve">Please list all the locations (city,country) where the outsourced service will be carried out </t>
  </si>
  <si>
    <t xml:space="preserve">Please list all the locations (city,country) where the Customer info will be stored or processed </t>
  </si>
  <si>
    <t xml:space="preserve">Please list all the locations (city,country) where the Business sensitive or critical data will be stored or processed</t>
  </si>
  <si>
    <t xml:space="preserve">timezone Risk ?  </t>
  </si>
  <si>
    <t xml:space="preserve">BC Risk </t>
  </si>
  <si>
    <t xml:space="preserve">Does the firm perform annual testing and/or review of the BCP of the SP/material SC</t>
  </si>
  <si>
    <t xml:space="preserve">Did the material and/or Critical SP/material S-C meet all of the objectives of the BCP Test Succussfully ?</t>
  </si>
  <si>
    <t xml:space="preserve">Is there service provider substitutability established </t>
  </si>
  <si>
    <t xml:space="preserve">Has an alternate service provider been identified </t>
  </si>
  <si>
    <t xml:space="preserve">if answer "Yes" to the above, please provide names of alternate service provider </t>
  </si>
  <si>
    <t xml:space="preserve">Is there a documented "Exit Strategy" in place </t>
  </si>
  <si>
    <t xml:space="preserve">What is the estimated timeframe for transfer of service in the event of exit from existing contract </t>
  </si>
  <si>
    <t xml:space="preserve">Oversight &amp; Assurance</t>
  </si>
  <si>
    <t xml:space="preserve">How frequently does the firm conduct due diligence on the SP/material sub-contractor after initiation of the contract</t>
  </si>
  <si>
    <t xml:space="preserve">How frequently is an independent review/audit conducted on the outsourced service provider/material sub-contractor</t>
  </si>
  <si>
    <t xml:space="preserve">When was an independent review/Audit last conducted on the SP/material sub-contractor ? Input date pls</t>
  </si>
  <si>
    <t xml:space="preserve">who conducted the last independent review/audit</t>
  </si>
  <si>
    <t xml:space="preserve">what was the objective and nature of the last independent review/audit conducted</t>
  </si>
  <si>
    <t xml:space="preserve">Has an "on-site" inspection or review ctrls been conducted on the SP/material SC ? Excluding regulatory inspections</t>
  </si>
  <si>
    <t xml:space="preserve">Where Anti-Money Laundering/Counter Financing of Terrorism/Financial Sanction is outsourced  
is sampling of customer/Client records undertaken as part of the"on site inspection" ?</t>
  </si>
  <si>
    <t xml:space="preserve">Topics </t>
  </si>
  <si>
    <t xml:space="preserve">To Do </t>
  </si>
  <si>
    <t xml:space="preserve">Leadership commitment</t>
  </si>
  <si>
    <t xml:space="preserve">Ensure leadership sponsors and supports the risk and security program</t>
  </si>
  <si>
    <t xml:space="preserve">Policy &amp; governance </t>
  </si>
  <si>
    <t xml:space="preserve">Publish and communicate risk and security objectives via policies.  Develop structure and processes for risk identification, decision making, and accountability</t>
  </si>
  <si>
    <t xml:space="preserve">Roles, ownership &amp; responsibilities </t>
  </si>
  <si>
    <t xml:space="preserve">Identify and define roles and responsibilities for risk and security functions</t>
  </si>
  <si>
    <t xml:space="preserve">Organizational context</t>
  </si>
  <si>
    <t xml:space="preserve">Discover the business.  Understand what is important including regulatory and contractual commitments, sensitive or high-value data, intellectual property, assets, 
financial penalties and revenue by business services</t>
  </si>
  <si>
    <t xml:space="preserve">Determine scope\planning</t>
  </si>
  <si>
    <t xml:space="preserve">Develop the program to protect what is most important to the business areas. </t>
  </si>
  <si>
    <t xml:space="preserve">Assess, decide, implement &amp; measure</t>
  </si>
  <si>
    <t xml:space="preserve">Perform assessments to identify risks.  Assign ownership and implement measures to strengthen the ability to address risks, disruptive events and changes in the environment.  
Measure improvements and track identified risks</t>
  </si>
  <si>
    <t xml:space="preserve">Training and awareness </t>
  </si>
  <si>
    <t xml:space="preserve">Train staff on specific skills and provide awareness across all levels of the organization.  Awareness includes a variety of topics such as policies, responsibilities, processes, mitigations and recovery plans</t>
  </si>
  <si>
    <t xml:space="preserve">Communications </t>
  </si>
  <si>
    <t xml:space="preserve">Ongoing communication among risk professions, business areas and leadership.  Build communication plans which manage issues before, during and after a disruptive event</t>
  </si>
  <si>
    <t xml:space="preserve">Continuous improvement </t>
  </si>
  <si>
    <t xml:space="preserve">Build a program that continously identifies risks, implements controls and measures organizational resilience</t>
  </si>
  <si>
    <t xml:space="preserve">contact</t>
  </si>
  <si>
    <t xml:space="preserve">Infos</t>
  </si>
  <si>
    <t xml:space="preserve">Serti</t>
  </si>
  <si>
    <t xml:space="preserve">AIM/OIM: pierre Projean, pierre Hildebrand (pas Acces-validation)</t>
  </si>
  <si>
    <t xml:space="preserve">Validation des Acces: Reconciliation RH (depart) Vs Applicatifs Account, 
Revalidation des acces: pour les employes Actifs: Transit Vs applicatifs Account (Chgt de Transit)</t>
  </si>
  <si>
    <t xml:space="preserve">Pentests: Eric Turgeon</t>
  </si>
  <si>
    <t xml:space="preserve">Stephane Berube</t>
  </si>
  <si>
    <t xml:space="preserve">It Operations management pour le groupe(it asset incident, IT change mgmt(transformation), it availability) (It change mgmt: Genevieve Guilbert)</t>
  </si>
  <si>
    <t xml:space="preserve">IT operation(Reginald, Horace): procedures, suivi, docs, policy(Audit + risk assessment ??)</t>
  </si>
  <si>
    <t xml:space="preserve">Lyne d'Amico</t>
  </si>
  <si>
    <t xml:space="preserve">Security CISO IT + Sec risk management</t>
  </si>
  <si>
    <t xml:space="preserve">pas mal d'equipe (securite,serti + daniel alvarez team: 2nd ligne defense)</t>
  </si>
  <si>
    <t xml:space="preserve">Elaine commeau</t>
  </si>
  <si>
    <t xml:space="preserve">comite HA/DR, Incidents management panbank, BC 2nd line (pas international)</t>
  </si>
  <si>
    <t xml:space="preserve">plan, suivi et autres…</t>
  </si>
  <si>
    <t xml:space="preserve">Mario Denis</t>
  </si>
  <si>
    <t xml:space="preserve">HA DR banque</t>
  </si>
  <si>
    <t xml:space="preserve">Francois Blouin</t>
  </si>
  <si>
    <t xml:space="preserve">Third party mgmt </t>
  </si>
  <si>
    <t xml:space="preserve">OSP, 3party framework</t>
  </si>
  <si>
    <t xml:space="preserve">Marie-chantal Gingras</t>
  </si>
  <si>
    <t xml:space="preserve">internal IT audit </t>
  </si>
  <si>
    <t xml:space="preserve">wilson kung</t>
  </si>
  <si>
    <t xml:space="preserve">Jean-andre gagnat</t>
  </si>
  <si>
    <t xml:space="preserve">Threat Intelligence: Sous wimet </t>
  </si>
  <si>
    <t xml:space="preserve">Tech resilience</t>
  </si>
  <si>
    <t xml:space="preserve">techno resilience Strategy (HA/DR) (quarterly ot heads, monthly to OSFI)</t>
  </si>
  <si>
    <t xml:space="preserve">IT resilience KI</t>
  </si>
  <si>
    <t xml:space="preserve">Major incidents indicators</t>
  </si>
  <si>
    <t xml:space="preserve">DR exercises indicators</t>
  </si>
  <si>
    <t xml:space="preserve">Obsolescence heatmap</t>
  </si>
  <si>
    <t xml:space="preserve">Resilience risks</t>
  </si>
  <si>
    <t xml:space="preserve">Data Governance:</t>
  </si>
  <si>
    <t xml:space="preserve">exercise of decision-making and authority for data-related matters;</t>
  </si>
  <si>
    <t xml:space="preserve">Data management: Decisions you make</t>
  </si>
  <si>
    <t xml:space="preserve">Data Governance: the structure for making them</t>
  </si>
  <si>
    <t xml:space="preserve">Brings together cross-functional teams to make interdependent rules,  </t>
  </si>
  <si>
    <t xml:space="preserve">cross functional teams: Data Stewards &amp;&amp; Data Governors: business side </t>
  </si>
  <si>
    <t xml:space="preserve">to resolve issues, or to provide services to data stakeholders</t>
  </si>
  <si>
    <t xml:space="preserve">Universal Executive Drivers: </t>
  </si>
  <si>
    <t xml:space="preserve">Increase revenue and Value</t>
  </si>
  <si>
    <t xml:space="preserve">Manage Cost and complexity</t>
  </si>
  <si>
    <t xml:space="preserve">Ensure Survival through attention to risk and </t>
  </si>
  <si>
    <t xml:space="preserve">vulnerabilities: compliances, security, privacy, etc…</t>
  </si>
  <si>
    <t xml:space="preserve">DGF: </t>
  </si>
  <si>
    <t xml:space="preserve">benchmark: Standardize data definitions across an entreprise.</t>
  </si>
  <si>
    <t xml:space="preserve">Achieve Clarity</t>
  </si>
  <si>
    <t xml:space="preserve">Ensure value from your efforts</t>
  </si>
  <si>
    <t xml:space="preserve">Create a clear mission </t>
  </si>
  <si>
    <t xml:space="preserve">Maintain scope and focus</t>
  </si>
  <si>
    <t xml:space="preserve">Establish accountabilities</t>
  </si>
  <si>
    <t xml:space="preserve">Define measurable successes</t>
  </si>
  <si>
    <t xml:space="preserve">DG Focus Areas (programs)</t>
  </si>
  <si>
    <t xml:space="preserve">Programs</t>
  </si>
  <si>
    <t xml:space="preserve">Role of DG Team</t>
  </si>
  <si>
    <t xml:space="preserve">Policy, Standards, Strategy</t>
  </si>
  <si>
    <t xml:space="preserve"> ==&gt; give needed weight to architectural positions</t>
  </si>
  <si>
    <t xml:space="preserve">Initiatives: Entreprise Data Management, Business Process Reengineering, 
Standardization on platforms, Data Sets Acquisition, Concentration on sets of Master Data and/or metadata; 
(review/monitor/approve policies, Align sets of policies and standards, Contribute to Business rules/Data strategies, identify stakeholders, establish decision rights)</t>
  </si>
  <si>
    <t xml:space="preserve">Data Quality</t>
  </si>
  <si>
    <t xml:space="preserve">Sets direction for DQ and monitor success of DQ efforts</t>
  </si>
  <si>
    <t xml:space="preserve">and reports status of quality-focused initiatives,identify stakeholders and establish decision rights, clarify accties</t>
  </si>
  <si>
    <t xml:space="preserve">Privacy/Compliance/Security</t>
  </si>
  <si>
    <t xml:space="preserve">concerns about compliance with regulatory too.</t>
  </si>
  <si>
    <t xml:space="preserve">Locate sensitive Data to: 
1) protect data: support for access Mgmt &amp; security requirements  
2) manage policies and controls: assess risk, define controls to manage risk and enforce regulatory/contractual/architectural/compliance requirements</t>
  </si>
  <si>
    <t xml:space="preserve">Architecture/Integration</t>
  </si>
  <si>
    <t xml:space="preserve">with major system acquisition: </t>
  </si>
  <si>
    <t xml:space="preserve">Cloud migration to ensure data consistency &amp; integrity &amp; availability/ Focus on architecture &amp; Integration</t>
  </si>
  <si>
    <t xml:space="preserve">Data Warehouse &amp; BI</t>
  </si>
  <si>
    <t xml:space="preserve">Act locally but think globally</t>
  </si>
  <si>
    <t xml:space="preserve">enforce standards and rules for new systems;</t>
  </si>
  <si>
    <t xml:space="preserve">Management Support</t>
  </si>
  <si>
    <t xml:space="preserve">support managers to make decisions with confidence &amp; address compliance</t>
  </si>
  <si>
    <t xml:space="preserve">Establish rules for data usage and data definitions, loop-outs for projects, clarify value of data assets</t>
  </si>
  <si>
    <t xml:space="preserve">DG Life Cycle Methodology: </t>
  </si>
  <si>
    <t xml:space="preserve">1-Develop a value Statement</t>
  </si>
  <si>
    <t xml:space="preserve">be Clear about the program's value Statement </t>
  </si>
  <si>
    <t xml:space="preserve">2- Prepare a RoadMap</t>
  </si>
  <si>
    <t xml:space="preserve">develop a roadmap to share with stakeholders</t>
  </si>
  <si>
    <t xml:space="preserve">anticipate stakeholders questions: WHO/WHAT/WHEN/WHERE/WHY/HOW</t>
  </si>
  <si>
    <t xml:space="preserve">3- Plan and Fund</t>
  </si>
  <si>
    <t xml:space="preserve">consider receiving inputs from other organizations: </t>
  </si>
  <si>
    <t xml:space="preserve">metrics execs want to see ? Value statements ? Funding models ? </t>
  </si>
  <si>
    <t xml:space="preserve">4- Design the program</t>
  </si>
  <si>
    <t xml:space="preserve">5- Deploy the program</t>
  </si>
  <si>
    <t xml:space="preserve">6- Govern the Data </t>
  </si>
  <si>
    <t xml:space="preserve">7- Monitor, Measure and Report </t>
  </si>
  <si>
    <t xml:space="preserve">monitor efforts/ measure success/ report status</t>
  </si>
  <si>
    <t xml:space="preserve">dimensions</t>
  </si>
  <si>
    <t xml:space="preserve">questions</t>
  </si>
  <si>
    <t xml:space="preserve">comments:</t>
  </si>
  <si>
    <t xml:space="preserve">def: Fit for Use</t>
  </si>
  <si>
    <t xml:space="preserve">1- Relevance</t>
  </si>
  <si>
    <t xml:space="preserve">Does the information meet users’ current and potential needs? </t>
  </si>
  <si>
    <t xml:space="preserve">1 dim peut affaiblir une autre</t>
  </si>
  <si>
    <t xml:space="preserve">2- Accuracy &amp; Reliability</t>
  </si>
  <si>
    <t xml:space="preserve">Does the information correctly and consistently describe what it was designed to measure?</t>
  </si>
  <si>
    <t xml:space="preserve">changing data: increase relevance affect comparability over time</t>
  </si>
  <si>
    <t xml:space="preserve">3- Comparability &amp; Coherence</t>
  </si>
  <si>
    <t xml:space="preserve">Is the information consistent over time and across providers, and can it be easily combined with other sources? </t>
  </si>
  <si>
    <t xml:space="preserve">improve timeliness, reduct accuracy</t>
  </si>
  <si>
    <t xml:space="preserve">4- Timeliness &amp; punctuality</t>
  </si>
  <si>
    <t xml:space="preserve">Is the information current and released on schedule?</t>
  </si>
  <si>
    <t xml:space="preserve">cost, response burden, privacy, confidentiality, security</t>
  </si>
  <si>
    <t xml:space="preserve">5- Accessibility &amp; Clarity</t>
  </si>
  <si>
    <t xml:space="preserve">Is the information and its supporting documentation easily accessed and clearly presented in a way that can be understood?  </t>
  </si>
  <si>
    <t xml:space="preserve">Data quality -&gt; information Quality</t>
  </si>
  <si>
    <t xml:space="preserve">data quality profiling &amp; cleansing Plan: </t>
  </si>
  <si>
    <t xml:space="preserve">info quality: </t>
  </si>
  <si>
    <t xml:space="preserve">Metadata, reference data, master data, transactional data, audit data…</t>
  </si>
  <si>
    <t xml:space="preserve">life cycle of: creating, acquiring data</t>
  </si>
  <si>
    <t xml:space="preserve">Quality by Design</t>
  </si>
  <si>
    <t xml:space="preserve">-&gt;  processing it -&gt; transforming into information products</t>
  </si>
  <si>
    <t xml:space="preserve">caracteristics: </t>
  </si>
  <si>
    <t xml:space="preserve">1-Relevance: </t>
  </si>
  <si>
    <t xml:space="preserve">Release &amp; use: </t>
  </si>
  <si>
    <t xml:space="preserve">data use =&gt; meets infos needs</t>
  </si>
  <si>
    <t xml:space="preserve">reciproque peut etre false (Data not accessible)</t>
  </si>
  <si>
    <t xml:space="preserve">monitoring: Usage Metrics </t>
  </si>
  <si>
    <t xml:space="preserve">(sachant: availability Ok)</t>
  </si>
  <si>
    <t xml:space="preserve">value</t>
  </si>
  <si>
    <t xml:space="preserve">fill info priority Gaps: successfully address its purpose</t>
  </si>
  <si>
    <t xml:space="preserve">if  no longer meet user's needs =&gt; might become a risk</t>
  </si>
  <si>
    <t xml:space="preserve">monitoring: perceived value of Data w/ regards to</t>
  </si>
  <si>
    <t xml:space="preserve">main user's (current &amp; emerging) info needs</t>
  </si>
  <si>
    <t xml:space="preserve">Adaptability</t>
  </si>
  <si>
    <t xml:space="preserve">data source well positioned and flexible to address </t>
  </si>
  <si>
    <t xml:space="preserve">if not: data sources might become a risk of data irrelevance</t>
  </si>
  <si>
    <t xml:space="preserve">infos needs</t>
  </si>
  <si>
    <t xml:space="preserve">Assess: evaluate effectively and proactively users needs</t>
  </si>
  <si>
    <t xml:space="preserve">monitoring: corresponding changes to Data sources</t>
  </si>
  <si>
    <t xml:space="preserve">2- Accuracy and reliability</t>
  </si>
  <si>
    <t xml:space="preserve">coverage: </t>
  </si>
  <si>
    <t xml:space="preserve">Quantitative: The degree to which the data available for use covers the population for whom information is wanted (the population of interest)</t>
  </si>
  <si>
    <t xml:space="preserve">monitoring: coverage Rate, number of infos not received</t>
  </si>
  <si>
    <t xml:space="preserve">Quality: was the statistical info describes what was designed to measure ?? </t>
  </si>
  <si>
    <t xml:space="preserve">routine data profiling: </t>
  </si>
  <si>
    <t xml:space="preserve">monitoring: rates of valid, invalid , missing and outlier value?</t>
  </si>
  <si>
    <t xml:space="preserve">Lineage: </t>
  </si>
  <si>
    <t xml:space="preserve">point of origin to end usage: supply chain Data</t>
  </si>
  <si>
    <t xml:space="preserve">data steward to identify quality issues on Supply Chain </t>
  </si>
  <si>
    <t xml:space="preserve">complete documentation of Lineage is KEY METAdata for a data source</t>
  </si>
  <si>
    <t xml:space="preserve">monitoring: documenting data lineage: known variations + identifying knowledge Gaps</t>
  </si>
  <si>
    <t xml:space="preserve">capture &amp; collection: </t>
  </si>
  <si>
    <t xml:space="preserve">measure &amp; process to maintain relations with Data providers/ minimize response Burden / facilitate data flow  </t>
  </si>
  <si>
    <t xml:space="preserve">measurement Error</t>
  </si>
  <si>
    <t xml:space="preserve">concepts: Biais, amount of variation that would occur if repeated measures were done</t>
  </si>
  <si>
    <t xml:space="preserve">Estimate measurement error </t>
  </si>
  <si>
    <t xml:space="preserve">processing: </t>
  </si>
  <si>
    <t xml:space="preserve">ETL process: =&gt; validation + correction + imputation + creation new variables // processing &gt;&gt; data Lineage</t>
  </si>
  <si>
    <t xml:space="preserve">documenting data processing =&gt; important for data Stewards =&gt; continuity of operations w/ staff changing </t>
  </si>
  <si>
    <t xml:space="preserve">monitoring: document data processing + transformed data </t>
  </si>
  <si>
    <t xml:space="preserve">concordance: </t>
  </si>
  <si>
    <t xml:space="preserve">w/ benchmark Data to extract data </t>
  </si>
  <si>
    <t xml:space="preserve">monitoring: comparing aggregate statistics from all data sources on the same or similar infos</t>
  </si>
  <si>
    <t xml:space="preserve">Linkage: </t>
  </si>
  <si>
    <t xml:space="preserve">monitor linkage variables and measure linkage rates</t>
  </si>
  <si>
    <t xml:space="preserve">(on internal sources: primary, foreign key rdbms f.g Or w/ external sources) </t>
  </si>
  <si>
    <t xml:space="preserve">juridictional comparability: </t>
  </si>
  <si>
    <t xml:space="preserve">document any juridictional differences and their impact on data </t>
  </si>
  <si>
    <t xml:space="preserve">used for reporting regulatory point of view</t>
  </si>
  <si>
    <t xml:space="preserve">historical comparability: </t>
  </si>
  <si>
    <t xml:space="preserve">well know data changes are known (documentation) over time </t>
  </si>
  <si>
    <t xml:space="preserve">release timeliness</t>
  </si>
  <si>
    <t xml:space="preserve">the currency of the data at the time of release: </t>
  </si>
  <si>
    <t xml:space="preserve">Monitoring: time elapsed actual date of release and end of the data reference period</t>
  </si>
  <si>
    <t xml:space="preserve">release punctuality</t>
  </si>
  <si>
    <t xml:space="preserve">identify: delay releases and underlying causes</t>
  </si>
  <si>
    <t xml:space="preserve">submission timeliness </t>
  </si>
  <si>
    <t xml:space="preserve">measure the magnitude of late data submissions / underlying causes</t>
  </si>
  <si>
    <t xml:space="preserve">processing timeliness</t>
  </si>
  <si>
    <t xml:space="preserve">efficiency of processing once data received: SLA's </t>
  </si>
  <si>
    <t xml:space="preserve">Accessibility: </t>
  </si>
  <si>
    <t xml:space="preserve">existing of source of Truth (golden data) and is accessible and maintained</t>
  </si>
  <si>
    <t xml:space="preserve">Interpretability: </t>
  </si>
  <si>
    <t xml:space="preserve">documentation and metadata is available to ensure appropriate use</t>
  </si>
  <si>
    <t xml:space="preserve">assessing: appropriate documentation available + up to date </t>
  </si>
  <si>
    <t xml:space="preserve">Busines Metrics</t>
  </si>
  <si>
    <t xml:space="preserve">metrics   </t>
  </si>
  <si>
    <t xml:space="preserve">Efficiency </t>
  </si>
  <si>
    <t xml:space="preserve">Enforcement</t>
  </si>
  <si>
    <t xml:space="preserve">Enablement</t>
  </si>
  <si>
    <t xml:space="preserve">Timely regulatory reporting adherence</t>
  </si>
  <si>
    <t xml:space="preserve">x</t>
  </si>
  <si>
    <t xml:space="preserve">Cross selling/up selling results from improved 
data governance and consolidated customer view</t>
  </si>
  <si>
    <t xml:space="preserve">Customer attrition report – before versus After </t>
  </si>
  <si>
    <t xml:space="preserve">Accuracy and timeliness of risk calculations and aggregations</t>
  </si>
  <si>
    <t xml:space="preserve">(Data collection &amp; Preparation) Duration Vs (Time Analysis) Duration </t>
  </si>
  <si>
    <t xml:space="preserve">Critical data and processes with ownership defined (%)</t>
  </si>
  <si>
    <t xml:space="preserve">Business processes with RACI defined (%) (cumunda)</t>
  </si>
  <si>
    <t xml:space="preserve">Metrics on data quality:  accuracy, reliability, 
redundancy, completeness,conformity, integrity</t>
  </si>
  <si>
    <t xml:space="preserve">Key data elements with issues: definition, duplicate definition</t>
  </si>
  <si>
    <t xml:space="preserve">Auditability report which lists how many: critical elements 
can be audited and traced, and how many cannot</t>
  </si>
  <si>
    <t xml:space="preserve">Reduction in total cost of ownership for programs 
under data governance umbrella </t>
  </si>
  <si>
    <t xml:space="preserve">New customer retention rates </t>
  </si>
  <si>
    <t xml:space="preserve">M&amp;A cycle time – before and after</t>
  </si>
  <si>
    <t xml:space="preserve">M&amp;A-related incidents reported, Integration issues reported</t>
  </si>
  <si>
    <t xml:space="preserve">Increase in market share – before versus after (%)</t>
  </si>
  <si>
    <t xml:space="preserve">Reduction in time spent in manual adjustments and recons(%) </t>
  </si>
  <si>
    <t xml:space="preserve">Overall reduction in IT spend due to information 
and resource rationalization</t>
  </si>
  <si>
    <t xml:space="preserve">IT Metrics</t>
  </si>
  <si>
    <t xml:space="preserve">Architectural conformance percentage across projects 
– compliant versus noncompliant</t>
  </si>
  <si>
    <t xml:space="preserve">Conformance to enterprise data models and semantic models</t>
  </si>
  <si>
    <t xml:space="preserve">Conformance to data management standards e.g., 
naming standards, reusability percent levels</t>
  </si>
  <si>
    <t xml:space="preserve">Resource staff that could be reduced as a result of governance initiatives (%)</t>
  </si>
  <si>
    <t xml:space="preserve">Infrastructure that could be eliminated, 
reduced, standardized as a result of governance initiative (%)</t>
  </si>
  <si>
    <t xml:space="preserve">IT processes with RACI defined (%)</t>
  </si>
  <si>
    <t xml:space="preserve">Key data elements with no lineage and traceability captured (%)</t>
  </si>
  <si>
    <t xml:space="preserve">SLAs for providing data to the business for ad hoc analytics and queries</t>
  </si>
  <si>
    <t xml:space="preserve">Improvement in batch run time – before versus after performance
 improvement measures, and adherence to ongoing SLA commitments</t>
  </si>
  <si>
    <t xml:space="preserve">Entity: </t>
  </si>
  <si>
    <t xml:space="preserve">National Bank of Canada Financial Inc. (NBCFI) &amp;&amp; NBOC: Operations NY &amp; GrandsComptes</t>
  </si>
  <si>
    <t xml:space="preserve">Strategie de Test VPN pour NBCFI &amp; NBCOC </t>
  </si>
  <si>
    <t xml:space="preserve">Description:</t>
  </si>
  <si>
    <t xml:space="preserve"> is an affiliated broker-dealer that is an indirect subsidiary of National Bank Financial Inc. (NBFI), 
the Canadian based broker/dealer arm of National Bank of Canada</t>
  </si>
  <si>
    <t xml:space="preserve">Business:</t>
  </si>
  <si>
    <t xml:space="preserve">provides brokerage services in Canadian fixed income and Canadian equity securities: Equity Derivatives ( Sec Lending/borrowing) + GED DESK </t>
  </si>
  <si>
    <t xml:space="preserve">Panagon web</t>
  </si>
  <si>
    <t xml:space="preserve">operations</t>
  </si>
  <si>
    <t xml:space="preserve">IRIS'0878</t>
  </si>
  <si>
    <t xml:space="preserve">Operations</t>
  </si>
  <si>
    <t xml:space="preserve">BC Plan</t>
  </si>
  <si>
    <t xml:space="preserve">ICARIUS</t>
  </si>
  <si>
    <t xml:space="preserve">0797</t>
  </si>
  <si>
    <t xml:space="preserve">Court-Term Plan A:</t>
  </si>
  <si>
    <t xml:space="preserve">EQ.Derivatives:  Transfer Activity to TOR</t>
  </si>
  <si>
    <t xml:space="preserve">Fixed Income: [ Trading Team(5) + Sales Team(6): WFH using BBG Anywhere ], USE of VPN (Shared Drive) ??</t>
  </si>
  <si>
    <t xml:space="preserve">Compliance: (1:Katie McGowan) Sungard DR Site + Rest of Team: WFM VPN, TEST VPN ??</t>
  </si>
  <si>
    <t xml:space="preserve">Operations: (1 Anik) + (1) Chloe Blondy (or Katelyn Kreytak @ ACAT rejections ): DR Site Sungard </t>
  </si>
  <si>
    <t xml:space="preserve">Court-Term Plan B:</t>
  </si>
  <si>
    <t xml:space="preserve">EQ.Derivatives:  [Trading (2) 2.	Anthony Dunleavy and Steve Scholl :  Sungard DR Site ]</t>
  </si>
  <si>
    <t xml:space="preserve">3 DISA lines to activate: 2 trading + 1 sales</t>
  </si>
  <si>
    <t xml:space="preserve">Fixed Income: [ Trading Team(3/5) Relocate to MTL + (Trading Team (2/5) + Sales Team(2/6)): Relocate to Sungard DR Site  ]</t>
  </si>
  <si>
    <t xml:space="preserve">Compliance (Plan A): (1:Katie McGowan) Sungard DR Site + Rest of Team: WFM VPN, TEST VPN ??</t>
  </si>
  <si>
    <t xml:space="preserve">Operations (Plan A):  (1 Anik) + (1) Chloe Blondy (or Katelyn Kreytak @ ACAT rejections ): DR Site Sungard </t>
  </si>
  <si>
    <t xml:space="preserve">Systems</t>
  </si>
  <si>
    <t xml:space="preserve">Application Manager</t>
  </si>
  <si>
    <t xml:space="preserve">Used</t>
  </si>
  <si>
    <t xml:space="preserve">Bloomberg (TOMS)</t>
  </si>
  <si>
    <t xml:space="preserve">Trading Platform (Fixed Income)</t>
  </si>
  <si>
    <t xml:space="preserve">Francesco Barreca</t>
  </si>
  <si>
    <t xml:space="preserve">D,FI,IE</t>
  </si>
  <si>
    <t xml:space="preserve">CrYstal Report</t>
  </si>
  <si>
    <t xml:space="preserve">Reporting</t>
  </si>
  <si>
    <t xml:space="preserve">Help Desk</t>
  </si>
  <si>
    <t xml:space="preserve">C</t>
  </si>
  <si>
    <t xml:space="preserve">DTC</t>
  </si>
  <si>
    <t xml:space="preserve">Settlement system:US</t>
  </si>
  <si>
    <t xml:space="preserve">TBC</t>
  </si>
  <si>
    <t xml:space="preserve">D,FI</t>
  </si>
  <si>
    <t xml:space="preserve">Fidessa</t>
  </si>
  <si>
    <t xml:space="preserve">Trading platform ( Canadian Equity &amp; Listed Derivatives)</t>
  </si>
  <si>
    <t xml:space="preserve">Andres Rass</t>
  </si>
  <si>
    <t xml:space="preserve">IE</t>
  </si>
  <si>
    <t xml:space="preserve">Trading platform: Front Office SFT (Toronto)</t>
  </si>
  <si>
    <t xml:space="preserve">Miguel Antonio</t>
  </si>
  <si>
    <t xml:space="preserve">ISM/OSS</t>
  </si>
  <si>
    <t xml:space="preserve">Book of Record</t>
  </si>
  <si>
    <t xml:space="preserve">Andrée Ouellet</t>
  </si>
  <si>
    <t xml:space="preserve">ITG Triton</t>
  </si>
  <si>
    <r>
      <rPr>
        <sz val="11"/>
        <color rgb="FF000000"/>
        <rFont val="Calibri"/>
        <family val="2"/>
        <charset val="1"/>
      </rPr>
      <t xml:space="preserve">Trading and Information</t>
    </r>
    <r>
      <rPr>
        <sz val="10"/>
        <color rgb="FF1F497D"/>
        <rFont val="Arial"/>
        <family val="2"/>
        <charset val="1"/>
      </rPr>
      <t xml:space="preserve"> </t>
    </r>
    <r>
      <rPr>
        <sz val="10"/>
        <color rgb="FF000000"/>
        <rFont val="Arial"/>
        <family val="2"/>
        <charset val="1"/>
      </rPr>
      <t xml:space="preserve">(used for DR in the event Fidessa is down)</t>
    </r>
  </si>
  <si>
    <t xml:space="preserve">JP Morgan</t>
  </si>
  <si>
    <t xml:space="preserve">Electric Order System:  Equity Derivatives</t>
  </si>
  <si>
    <t xml:space="preserve">D</t>
  </si>
  <si>
    <t xml:space="preserve">Loanet</t>
  </si>
  <si>
    <t xml:space="preserve">Books of records (Vendor: FIS) [ G1 produce flat file -&gt; submitted FTP -&gt; Loanet: publish recon/Breaks infos on website]</t>
  </si>
  <si>
    <t xml:space="preserve">Market Axess (Trade West Systems)</t>
  </si>
  <si>
    <t xml:space="preserve">Trading platform: Fixed Income</t>
  </si>
  <si>
    <t xml:space="preserve">FI</t>
  </si>
  <si>
    <t xml:space="preserve">Maxlite</t>
  </si>
  <si>
    <t xml:space="preserve">Transaction clearing monitor offer to external Clients in order to perform follow-up on their settlements</t>
  </si>
  <si>
    <t xml:space="preserve">Christian Couture</t>
  </si>
  <si>
    <t xml:space="preserve">Murex</t>
  </si>
  <si>
    <t xml:space="preserve">A fully cross asset platform from the Front to the Back Office (Commodity derivatives / Credit Derivatives</t>
  </si>
  <si>
    <t xml:space="preserve">Clement Achache</t>
  </si>
  <si>
    <t xml:space="preserve">One Chicago</t>
  </si>
  <si>
    <t xml:space="preserve">Trading platform for SSF: SingleStock Futures SecLending + Equity Repo: prdts cleared in OCC (DR @Toronto)</t>
  </si>
  <si>
    <t xml:space="preserve">Miguel Antonio (sous Hugo paradis)</t>
  </si>
  <si>
    <t xml:space="preserve">Tradeweb</t>
  </si>
  <si>
    <t xml:space="preserve">Canadian and U.S. Government bond trading and execution system (CAD Market: Bond prices (provincial + Fed) + Money Market Yield RealTime)</t>
  </si>
  <si>
    <t xml:space="preserve">T</t>
  </si>
  <si>
    <t xml:space="preserve">SL Web</t>
  </si>
  <si>
    <t xml:space="preserve">Trading platform for SBL</t>
  </si>
  <si>
    <t xml:space="preserve">Ioulia</t>
  </si>
  <si>
    <t xml:space="preserve">Share drive</t>
  </si>
  <si>
    <t xml:space="preserve">Common folders</t>
  </si>
  <si>
    <t xml:space="preserve">D,FI,C,IE</t>
  </si>
  <si>
    <t xml:space="preserve">REDI</t>
  </si>
  <si>
    <t xml:space="preserve">Trading Execution Platform: Front Office  Equity Trading for US Markets  (Goldman Sachs)</t>
  </si>
  <si>
    <t xml:space="preserve">FISERV</t>
  </si>
  <si>
    <t xml:space="preserve">NBOC: corpo &amp; commercial Loans in NY </t>
  </si>
  <si>
    <t xml:space="preserve">FINRA Website</t>
  </si>
  <si>
    <t xml:space="preserve">infos for registered reps</t>
  </si>
  <si>
    <t xml:space="preserve">LendingPit</t>
  </si>
  <si>
    <t xml:space="preserve">RMS CIPD: Risk mgmt solution: Change international &amp; produit derivees</t>
  </si>
  <si>
    <t xml:space="preserve">Business Emergency Action:</t>
  </si>
  <si>
    <t xml:space="preserve">Close SBI-Xchange (config -&gt; firewall activity -&gt; rate feed -&gt; off), inform TOR -&gt; Xecute SOP plan -&gt; Gathering Site</t>
  </si>
  <si>
    <t xml:space="preserve">Normal? Hypertec : Toronto</t>
  </si>
  <si>
    <t xml:space="preserve">Court&amp; Long -Term Plan A/B:</t>
  </si>
  <si>
    <t xml:space="preserve">A.1.Alexandre lemieux || Salim inform bc team -&gt; inform Elaine || Stella to get access to Hypertec to Salim's Team ( 6 to 7 emp.) &amp; work on dedicated wkstation ==&gt; </t>
  </si>
  <si>
    <t xml:space="preserve">No</t>
  </si>
  <si>
    <t xml:space="preserve">PC Name</t>
  </si>
  <si>
    <t xml:space="preserve">Serial No.</t>
  </si>
  <si>
    <t xml:space="preserve">Function/ Title</t>
  </si>
  <si>
    <t xml:space="preserve">Position</t>
  </si>
  <si>
    <t xml:space="preserve">Phone No / extension</t>
  </si>
  <si>
    <t xml:space="preserve">MTL</t>
  </si>
  <si>
    <t xml:space="preserve">A.2. Phone line transfer by: Salim or Kloe vigroux</t>
  </si>
  <si>
    <t xml:space="preserve">CIPD-DR-1</t>
  </si>
  <si>
    <t xml:space="preserve">2UA4071WH6</t>
  </si>
  <si>
    <t xml:space="preserve">RMS- P&amp;C</t>
  </si>
  <si>
    <t xml:space="preserve">S3K1</t>
  </si>
  <si>
    <t xml:space="preserve">514-394-5000</t>
  </si>
  <si>
    <t xml:space="preserve">B. Salim to suggest on empl to be relocated to TOR Desks on trading floor</t>
  </si>
  <si>
    <t xml:space="preserve">CIPD-DR-2</t>
  </si>
  <si>
    <t xml:space="preserve">2UA62526Q9</t>
  </si>
  <si>
    <t xml:space="preserve">S3K3</t>
  </si>
  <si>
    <t xml:space="preserve">CIPD-DR-3</t>
  </si>
  <si>
    <t xml:space="preserve">2UA3520VJS</t>
  </si>
  <si>
    <t xml:space="preserve">S3K5</t>
  </si>
  <si>
    <t xml:space="preserve">CIPD-DR-4</t>
  </si>
  <si>
    <t xml:space="preserve">2UA4061957</t>
  </si>
  <si>
    <t xml:space="preserve">S3K7</t>
  </si>
  <si>
    <t xml:space="preserve">TOR</t>
  </si>
  <si>
    <t xml:space="preserve">communitcation proc: Alexandre lemieux || Martin McCambridge</t>
  </si>
  <si>
    <t xml:space="preserve">CIPD-DR-5</t>
  </si>
  <si>
    <t xml:space="preserve">2UA40619D9</t>
  </si>
  <si>
    <t xml:space="preserve">S3K9</t>
  </si>
  <si>
    <t xml:space="preserve">Immediate Term Plan </t>
  </si>
  <si>
    <t xml:space="preserve">A.1. Transfer Activities to MTL </t>
  </si>
  <si>
    <t xml:space="preserve">CIPD-DR-6</t>
  </si>
  <si>
    <t xml:space="preserve">2UA40619QD</t>
  </si>
  <si>
    <t xml:space="preserve">RMS- P&amp;C (Microsoft Lync)</t>
  </si>
  <si>
    <t xml:space="preserve">S3K11</t>
  </si>
  <si>
    <t xml:space="preserve">Long Term Plan </t>
  </si>
  <si>
    <t xml:space="preserve">A.1.  Employees to Hypertec</t>
  </si>
  <si>
    <t xml:space="preserve">CIPD-DR-7</t>
  </si>
  <si>
    <t xml:space="preserve">2UA4350HPG</t>
  </si>
  <si>
    <t xml:space="preserve">RMS- P&amp;C (Interceptor)</t>
  </si>
  <si>
    <t xml:space="preserve">S3K13</t>
  </si>
  <si>
    <t xml:space="preserve">Trading Platform: InfosNews, Chat, Trading: si Perdu voir avec JF Graton pour utiliser le telephone. (voir Thomson reuters: signa contract)</t>
  </si>
  <si>
    <t xml:space="preserve">Big Data (CRM)</t>
  </si>
  <si>
    <t xml:space="preserve">Solution DR Court Term: Excel </t>
  </si>
  <si>
    <t xml:space="preserve">OC/OCI</t>
  </si>
  <si>
    <t xml:space="preserve">1300 trx /jour : N/A</t>
  </si>
  <si>
    <t xml:space="preserve">limit risk</t>
  </si>
  <si>
    <t xml:space="preserve">CES</t>
  </si>
  <si>
    <t xml:space="preserve">Panneau de change (Xchange Rate)</t>
  </si>
  <si>
    <t xml:space="preserve">Microsoft Lync</t>
  </si>
  <si>
    <t xml:space="preserve">Chat;</t>
  </si>
  <si>
    <t xml:space="preserve">GED Add-in </t>
  </si>
  <si>
    <t xml:space="preserve">GRC Web</t>
  </si>
  <si>
    <t xml:space="preserve">need to log into  Bloomberg </t>
  </si>
  <si>
    <t xml:space="preserve">FX Options pricer Mapping (mapping Trader)</t>
  </si>
  <si>
    <t xml:space="preserve">OMS</t>
  </si>
  <si>
    <t xml:space="preserve">Critical Long term: autre provider (court term: a la main)</t>
  </si>
  <si>
    <t xml:space="preserve">Tableau</t>
  </si>
  <si>
    <t xml:space="preserve">PowerBi</t>
  </si>
  <si>
    <t xml:space="preserve">Common folders: H:/Traders$</t>
  </si>
  <si>
    <t xml:space="preserve">Test Hypertec en remote: </t>
  </si>
  <si>
    <t xml:space="preserve">BIA: c bon avec Chantal </t>
  </si>
  <si>
    <t xml:space="preserve">kloe vigroux: ASSistante de Chantal Quantin (Ficc)</t>
  </si>
  <si>
    <t xml:space="preserve">@pierre kioussis Groupe -&gt; Pierre Quintal (Status:  manque de braquettes ) c'EST lui qui part a Hypertec </t>
  </si>
  <si>
    <t xml:space="preserve">pierre recoit tout: Pierre &amp; Stella(Notifier la visite de Pierre) &amp; Victor: Pierre Branche et Victor config telecom OK &amp; Stella presente </t>
  </si>
  <si>
    <t xml:space="preserve">Hypertec Desk Number</t>
  </si>
  <si>
    <t xml:space="preserve">IP Phone Number</t>
  </si>
  <si>
    <t xml:space="preserve">a faire</t>
  </si>
  <si>
    <t xml:space="preserve">pour le test: voir Salim assigner une resource: Test a distance ou Sur les lieux; </t>
  </si>
  <si>
    <t xml:space="preserve">ajouter : Expansion Modules</t>
  </si>
  <si>
    <t xml:space="preserve">faire un test a distance:  9 pc a tester </t>
  </si>
  <si>
    <t xml:space="preserve">a. Abdelali : svp discuter avec Salim avant la visite à Hypertec histoire de faire des tests avec qqn de son équipe 
aussi autant pour les PCs que pour la téléphonie.</t>
  </si>
  <si>
    <t xml:space="preserve">Meme config que postes deja existants ==&gt; </t>
  </si>
  <si>
    <t xml:space="preserve">02876, 02877, 02878, 02872 ou 02875</t>
  </si>
  <si>
    <t xml:space="preserve">Inventaire des PCs:</t>
  </si>
  <si>
    <t xml:space="preserve">1. Upgrade de 2 postes a Hypertec 2. voir pour les Tests de remote;</t>
  </si>
  <si>
    <t xml:space="preserve">Nom de l’employé</t>
  </si>
  <si>
    <t xml:space="preserve"># de PC</t>
  </si>
  <si>
    <t xml:space="preserve">PING Results</t>
  </si>
  <si>
    <t xml:space="preserve">Windows Version</t>
  </si>
  <si>
    <t xml:space="preserve"># de poste chez Hypertec</t>
  </si>
  <si>
    <t xml:space="preserve">Type de PC</t>
  </si>
  <si>
    <t xml:space="preserve">Nombre d’écrans</t>
  </si>
  <si>
    <t xml:space="preserve">BBG Keyboard</t>
  </si>
  <si>
    <t xml:space="preserve"># de tél. sur IP chez Hypertec  (NB : les lignes Banque doivent être transférées)</t>
  </si>
  <si>
    <t xml:space="preserve"># de téléphone Banque</t>
  </si>
  <si>
    <t xml:space="preserve">Comments</t>
  </si>
  <si>
    <t xml:space="preserve">Flow/ Sophie Grimard</t>
  </si>
  <si>
    <t xml:space="preserve">Connected</t>
  </si>
  <si>
    <t xml:space="preserve">W8</t>
  </si>
  <si>
    <t xml:space="preserve">HP 8300</t>
  </si>
  <si>
    <t xml:space="preserve">02876</t>
  </si>
  <si>
    <t xml:space="preserve">514-394-5000 </t>
  </si>
  <si>
    <t xml:space="preserve">Flow/ Alexandre Lavalée : 2UA34521LB</t>
  </si>
  <si>
    <t xml:space="preserve">HP 800 G2</t>
  </si>
  <si>
    <t xml:space="preserve">02877</t>
  </si>
  <si>
    <t xml:space="preserve">Flow/Stéphane Goulet</t>
  </si>
  <si>
    <t xml:space="preserve">02878</t>
  </si>
  <si>
    <t xml:space="preserve">Flow/James Maddalena</t>
  </si>
  <si>
    <t xml:space="preserve">02872</t>
  </si>
  <si>
    <t xml:space="preserve">Flow/Philippe-Antoine Larue</t>
  </si>
  <si>
    <t xml:space="preserve">02875</t>
  </si>
  <si>
    <t xml:space="preserve">Ioana Baltatu</t>
  </si>
  <si>
    <t xml:space="preserve">02683</t>
  </si>
  <si>
    <t xml:space="preserve">MAC Address: 5067AEE0ADB4</t>
  </si>
  <si>
    <t xml:space="preserve">Flow/Microsoft Lync</t>
  </si>
  <si>
    <t xml:space="preserve">Not Applicable</t>
  </si>
  <si>
    <t xml:space="preserve">N/A</t>
  </si>
  <si>
    <t xml:space="preserve">2nd PC, same desk</t>
  </si>
  <si>
    <t xml:space="preserve">PC-Intercepteur</t>
  </si>
  <si>
    <t xml:space="preserve">HP 800 G1</t>
  </si>
  <si>
    <t xml:space="preserve">02684</t>
  </si>
  <si>
    <t xml:space="preserve">MAC Address: 5067AEE0AFC2</t>
  </si>
  <si>
    <t xml:space="preserve">Remedy: </t>
  </si>
  <si>
    <t xml:space="preserve">s3k11</t>
  </si>
  <si>
    <t xml:space="preserve">s3k13</t>
  </si>
  <si>
    <t xml:space="preserve">REQ000001041938</t>
  </si>
  <si>
    <t xml:space="preserve">Nombre d'ecran: </t>
  </si>
  <si>
    <t xml:space="preserve">REQ000001041936</t>
  </si>
  <si>
    <t xml:space="preserve">Oscar Nieto: </t>
  </si>
  <si>
    <t xml:space="preserve">Bia: </t>
  </si>
  <si>
    <t xml:space="preserve">systme Critique</t>
  </si>
  <si>
    <t xml:space="preserve">S3K11 (2 postes)</t>
  </si>
  <si>
    <t xml:space="preserve">S3K13 (2 postes)</t>
  </si>
  <si>
    <t xml:space="preserve">Observations / ToDo</t>
  </si>
  <si>
    <t xml:space="preserve">Accès au Disk H:/Traders $</t>
  </si>
  <si>
    <t xml:space="preserve">KO (2UA40619QD)</t>
  </si>
  <si>
    <t xml:space="preserve">KO (2UA4350HPG)</t>
  </si>
  <si>
    <t xml:space="preserve">etablir l'acces au Share Drive H:/Traders $</t>
  </si>
  <si>
    <t xml:space="preserve">Bloomberg</t>
  </si>
  <si>
    <t xml:space="preserve">OK</t>
  </si>
  <si>
    <t xml:space="preserve">toute les tasks sur le PC S3K11 etaient lentes. 
Revoir la config du PC et en ameliorer la performance</t>
  </si>
  <si>
    <t xml:space="preserve">intercepteur</t>
  </si>
  <si>
    <t xml:space="preserve">Not Tested</t>
  </si>
  <si>
    <t xml:space="preserve">SUNGARD (lien Web)</t>
  </si>
  <si>
    <t xml:space="preserve">CES (lien Web)</t>
  </si>
  <si>
    <t xml:space="preserve">Microsoft Office- Outlook</t>
  </si>
  <si>
    <t xml:space="preserve">KO</t>
  </si>
  <si>
    <t xml:space="preserve">les formules excel ne fonctionne pas. Voir avec un TI</t>
  </si>
  <si>
    <t xml:space="preserve">GED Add-In</t>
  </si>
  <si>
    <t xml:space="preserve">Tableau (liens Web)</t>
  </si>
  <si>
    <t xml:space="preserve">Function (English name)</t>
  </si>
  <si>
    <t xml:space="preserve">Business process</t>
  </si>
  <si>
    <t xml:space="preserve">BU's: Fixed Income, Foreign Exchange, Compliance</t>
  </si>
  <si>
    <t xml:space="preserve">Fixed Income &amp; FX - Compliance and Operation</t>
  </si>
  <si>
    <t xml:space="preserve">FI &amp; FX Compliance surveillance &amp; support.</t>
  </si>
  <si>
    <t xml:space="preserve">Business Activities:</t>
  </si>
  <si>
    <t xml:space="preserve">FI-Sales/ Low criticality/ RTO: 120Hrs (5 Days)</t>
  </si>
  <si>
    <t xml:space="preserve">Fixed Income - Sales</t>
  </si>
  <si>
    <t xml:space="preserve">Sales of FI investment products.</t>
  </si>
  <si>
    <t xml:space="preserve">FI- Compliance/ Low Criticality/ RTO: 120Hrs(5 Days)</t>
  </si>
  <si>
    <t xml:space="preserve">FX - Sales</t>
  </si>
  <si>
    <t xml:space="preserve">Sales of FX products.</t>
  </si>
  <si>
    <t xml:space="preserve">FX-Sales/ Low criticality/ RTO: 120Hrs (5 Days)</t>
  </si>
  <si>
    <t xml:space="preserve">FX- Compliance/ Low Criticality/ RTO: 120Hrs(5 Days)</t>
  </si>
  <si>
    <t xml:space="preserve">Test HK: </t>
  </si>
  <si>
    <t xml:space="preserve">test vpn: pb avec vpn server a MTL  </t>
  </si>
  <si>
    <t xml:space="preserve">short Term Plan A/B:</t>
  </si>
  <si>
    <t xml:space="preserve">Activate Call Forwarding -&gt; MD(Colin) &amp; COO(kennis) will WFH with VPN</t>
  </si>
  <si>
    <t xml:space="preserve">pb avec platform de trading: </t>
  </si>
  <si>
    <t xml:space="preserve">Team: use email/mobile phone &amp; BBG Anywhere &amp; DISA line to record comm w/clients</t>
  </si>
  <si>
    <t xml:space="preserve">solution: </t>
  </si>
  <si>
    <t xml:space="preserve">MD: arrange sales to contact clients/ COO contact regulators&amp;suppliers</t>
  </si>
  <si>
    <t xml:space="preserve">peu probable</t>
  </si>
  <si>
    <t xml:space="preserve">To Do</t>
  </si>
  <si>
    <t xml:space="preserve">Long Term Plan A:</t>
  </si>
  <si>
    <t xml:space="preserve">BSD &gt; 1 week</t>
  </si>
  <si>
    <t xml:space="preserve">colin laptop @antoine</t>
  </si>
  <si>
    <t xml:space="preserve">re-install &amp; Test Run all apps before vpn test 
(test:Bloomberg, Outlook, Brokertec for us bonds/bills)</t>
  </si>
  <si>
    <t xml:space="preserve">Employees will work via a new office w/pcs and phone lines: COO To contact Regus</t>
  </si>
  <si>
    <t xml:space="preserve">Xl User on  laptop@ Jonathan</t>
  </si>
  <si>
    <t xml:space="preserve">xl user for SmartTrade on VPN ? Only 3/6 links's working</t>
  </si>
  <si>
    <t xml:space="preserve">Long Term Plan B:</t>
  </si>
  <si>
    <t xml:space="preserve">xl user for FxTrading ?? No</t>
  </si>
  <si>
    <t xml:space="preserve">if no Location has been provided =&gt; VPN will be applied </t>
  </si>
  <si>
    <t xml:space="preserve">Francis-Viau &amp; Jeami isidore: </t>
  </si>
  <si>
    <t xml:space="preserve">Test VPN francis Viau: probablement c'est OK,</t>
  </si>
  <si>
    <t xml:space="preserve">Hardware: vieux de 10ans, projet a renouveler: Frank &amp; Jeami</t>
  </si>
  <si>
    <t xml:space="preserve">Francis va corriger le pb mais il devrait impliquer Bell</t>
  </si>
  <si>
    <t xml:space="preserve">sinon DC sera rappatrie le 26 Oct et on fait le changement 27/28 =&gt; 
cost reduction</t>
  </si>
  <si>
    <t xml:space="preserve">Contacts</t>
  </si>
  <si>
    <t xml:space="preserve">Outlook</t>
  </si>
  <si>
    <t xml:space="preserve">DeskSide/Hardware issues</t>
  </si>
  <si>
    <t xml:space="preserve">Jay Guarnieri</t>
  </si>
  <si>
    <t xml:space="preserve">Trade Execution</t>
  </si>
  <si>
    <t xml:space="preserve">Software support/phone issues</t>
  </si>
  <si>
    <t xml:space="preserve">Peter Kioussis</t>
  </si>
  <si>
    <t xml:space="preserve">CanDeal TradeWeb</t>
  </si>
  <si>
    <t xml:space="preserve">Server issues</t>
  </si>
  <si>
    <t xml:space="preserve">Wintel OPS</t>
  </si>
  <si>
    <t xml:space="preserve">Connectivity/Telecom data</t>
  </si>
  <si>
    <t xml:space="preserve">Sukhbir Bajwa/ Kyrylo petrenko</t>
  </si>
  <si>
    <t xml:space="preserve">IT Escalations</t>
  </si>
  <si>
    <t xml:space="preserve">Frank Barreca</t>
  </si>
  <si>
    <t xml:space="preserve">Nice recording</t>
  </si>
  <si>
    <t xml:space="preserve">Victor Novembre</t>
  </si>
  <si>
    <t xml:space="preserve">Colin Embree</t>
  </si>
  <si>
    <t xml:space="preserve">Kennis</t>
  </si>
  <si>
    <t xml:space="preserve">VPN Test Status: </t>
  </si>
  <si>
    <t xml:space="preserve">BBG: TOMS, Pricing, Chatrooms</t>
  </si>
  <si>
    <t xml:space="preserve">ok </t>
  </si>
  <si>
    <t xml:space="preserve">ok</t>
  </si>
  <si>
    <t xml:space="preserve">Email</t>
  </si>
  <si>
    <t xml:space="preserve">Internet</t>
  </si>
  <si>
    <t xml:space="preserve">apps: excel</t>
  </si>
  <si>
    <t xml:space="preserve">Shared drives</t>
  </si>
  <si>
    <t xml:space="preserve">BrokerTec</t>
  </si>
  <si>
    <t xml:space="preserve">Not tested (don't work after buz hours)</t>
  </si>
  <si>
    <t xml:space="preserve">Alain Katchouni</t>
  </si>
  <si>
    <t xml:space="preserve">YURI/Sean Healey</t>
  </si>
  <si>
    <t xml:space="preserve">SBL: relocate MTL</t>
  </si>
  <si>
    <t xml:space="preserve">Martin Verschuere</t>
  </si>
  <si>
    <t xml:space="preserve">Struc Prcts &amp; Exotics</t>
  </si>
  <si>
    <t xml:space="preserve">Delta 1: Relocate MTL</t>
  </si>
  <si>
    <t xml:space="preserve">Jean-François Tessier</t>
  </si>
  <si>
    <t xml:space="preserve">contingency Plan: transfer activities MTL until arriving to MTL</t>
  </si>
  <si>
    <t xml:space="preserve">Opt &amp; Reg: Activity Transfer to TOR</t>
  </si>
  <si>
    <t xml:space="preserve">Jeff Clapp</t>
  </si>
  <si>
    <t xml:space="preserve">MDB: VPN</t>
  </si>
  <si>
    <t xml:space="preserve">Chris Dale</t>
  </si>
  <si>
    <t xml:space="preserve">FO IT: VPN</t>
  </si>
  <si>
    <t xml:space="preserve">Vincent D’Orangeville</t>
  </si>
  <si>
    <t xml:space="preserve">Analytics &amp; AI</t>
  </si>
  <si>
    <t xml:space="preserve">Etienne</t>
  </si>
  <si>
    <t xml:space="preserve">ETF &amp; Algo Trade: VPN (katchouni, grace Kim), rest of the team: VPN</t>
  </si>
  <si>
    <t xml:space="preserve">Relocate to TOR, rest of the team: VPN</t>
  </si>
  <si>
    <t xml:space="preserve">Ihor Danyliuk</t>
  </si>
  <si>
    <t xml:space="preserve">FP (sppt): Relocate to MTL *3 , rest of the team: VPN</t>
  </si>
  <si>
    <t xml:space="preserve">Caroline Jukes</t>
  </si>
  <si>
    <t xml:space="preserve">Struct Products &amp; Exotics:  VPN</t>
  </si>
  <si>
    <t xml:space="preserve">Relocate to TOR &amp;&amp; xVA by VPN</t>
  </si>
  <si>
    <t xml:space="preserve">Ioulia Ioffe</t>
  </si>
  <si>
    <t xml:space="preserve">Inst. Equities:  Traders VPN, sales* 6: Relocate to MTL</t>
  </si>
  <si>
    <t xml:space="preserve">AI: VPN</t>
  </si>
  <si>
    <t xml:space="preserve">Relocate to Tor (V.d'O)</t>
  </si>
  <si>
    <t xml:space="preserve">Carl Attie</t>
  </si>
  <si>
    <t xml:space="preserve">Global Security Finance</t>
  </si>
  <si>
    <t xml:space="preserve">Research: VPN</t>
  </si>
  <si>
    <t xml:space="preserve">Erin Keleher</t>
  </si>
  <si>
    <t xml:space="preserve">Opti &amp; Reg</t>
  </si>
  <si>
    <t xml:space="preserve">Quantitative Solutions: VPN</t>
  </si>
  <si>
    <t xml:space="preserve">Skripnik, Nikolay</t>
  </si>
  <si>
    <t xml:space="preserve">FO Technology</t>
  </si>
  <si>
    <t xml:space="preserve">Bus Mgmt: VPN</t>
  </si>
  <si>
    <t xml:space="preserve">Equity Capital Markets: MTL take over activities waiting for relocated resc</t>
  </si>
  <si>
    <t xml:space="preserve">Equity Capital Markets: VPN, chris Dale to take over MTL's  activities </t>
  </si>
  <si>
    <t xml:space="preserve">digital Risk Report: </t>
  </si>
  <si>
    <t xml:space="preserve">Post-Mortem Template:</t>
  </si>
  <si>
    <t xml:space="preserve">Year-Month</t>
  </si>
  <si>
    <t xml:space="preserve">AffectedServices</t>
  </si>
  <si>
    <t xml:space="preserve">Severity</t>
  </si>
  <si>
    <t xml:space="preserve">incident_count</t>
  </si>
  <si>
    <t xml:space="preserve">P:\Gestion de crises-incidents\Crises2019\20190730 Sev 1 Murex Servers Down</t>
  </si>
  <si>
    <t xml:space="preserve">2019-08</t>
  </si>
  <si>
    <t xml:space="preserve">Application Partagée (CMOD)</t>
  </si>
  <si>
    <t xml:space="preserve">CDS (Canadian Depository System)</t>
  </si>
  <si>
    <t xml:space="preserve">IncidentDate</t>
  </si>
  <si>
    <t xml:space="preserve">severity</t>
  </si>
  <si>
    <t xml:space="preserve">Durée en Minutes</t>
  </si>
  <si>
    <t xml:space="preserve">Data Warehouse Trésorerie</t>
  </si>
  <si>
    <t xml:space="preserve">06:45:00</t>
  </si>
  <si>
    <t xml:space="preserve">use the team Laptop</t>
  </si>
  <si>
    <t xml:space="preserve">20:57:00</t>
  </si>
  <si>
    <t xml:space="preserve">IBM Content Navigator (ICN)</t>
  </si>
  <si>
    <t xml:space="preserve">08:31:00</t>
  </si>
  <si>
    <t xml:space="preserve">Infrastructure Partagée (WiFi)</t>
  </si>
  <si>
    <t xml:space="preserve">2019-09</t>
  </si>
  <si>
    <t xml:space="preserve">18:39:00</t>
  </si>
  <si>
    <t xml:space="preserve">Jira</t>
  </si>
  <si>
    <t xml:space="preserve">02:38:00</t>
  </si>
  <si>
    <t xml:space="preserve">Suivi retour du DR</t>
  </si>
  <si>
    <t xml:space="preserve">04:12:00</t>
  </si>
  <si>
    <t xml:space="preserve">Object Charlie Trésorerie</t>
  </si>
  <si>
    <t xml:space="preserve">Aurelie @BC</t>
  </si>
  <si>
    <t xml:space="preserve">2019-10</t>
  </si>
  <si>
    <t xml:space="preserve">01:52:00</t>
  </si>
  <si>
    <t xml:space="preserve">PCIS</t>
  </si>
  <si>
    <t xml:space="preserve">Alexie: Treso avec Isabel Cote</t>
  </si>
  <si>
    <t xml:space="preserve">00:55:00</t>
  </si>
  <si>
    <t xml:space="preserve">Portail NBIN (Compass)</t>
  </si>
  <si>
    <t xml:space="preserve">2019-11</t>
  </si>
  <si>
    <t xml:space="preserve">Application Partagée  (Murex 3.1)</t>
  </si>
  <si>
    <t xml:space="preserve">12:30:00</t>
  </si>
  <si>
    <t xml:space="preserve">Position Watch</t>
  </si>
  <si>
    <t xml:space="preserve">02:18:00</t>
  </si>
  <si>
    <t xml:space="preserve">Remedy</t>
  </si>
  <si>
    <t xml:space="preserve">01:30:00</t>
  </si>
  <si>
    <t xml:space="preserve">Serveur Fax - Xmédius</t>
  </si>
  <si>
    <t xml:space="preserve">2019-12</t>
  </si>
  <si>
    <t xml:space="preserve">Application partagée (Murex 3.1)</t>
  </si>
  <si>
    <t xml:space="preserve">02:09:00</t>
  </si>
  <si>
    <t xml:space="preserve">Shared Drives</t>
  </si>
  <si>
    <t xml:space="preserve">SWIFT</t>
  </si>
  <si>
    <t xml:space="preserve">Telephonie (Unigy IPC)</t>
  </si>
  <si>
    <t xml:space="preserve">2020-01</t>
  </si>
  <si>
    <t xml:space="preserve">The WIFI shared infrastructure.</t>
  </si>
  <si>
    <t xml:space="preserve">TPVI - POS</t>
  </si>
  <si>
    <t xml:space="preserve">Application partagé CMOD</t>
  </si>
  <si>
    <t xml:space="preserve">Application Partagée (Cameron Catalys)</t>
  </si>
  <si>
    <t xml:space="preserve">Croesus</t>
  </si>
  <si>
    <t xml:space="preserve">Infrastructure Partagée (AS400)</t>
  </si>
  <si>
    <t xml:space="preserve">Infrastructure Partagée (Base de données)</t>
  </si>
  <si>
    <t xml:space="preserve">Infrastructure partagée (Panne électrique)</t>
  </si>
  <si>
    <t xml:space="preserve">Infrastructure Partagée (Poste de travail)</t>
  </si>
  <si>
    <t xml:space="preserve">Infrastructure Partagée (Réseau)</t>
  </si>
  <si>
    <t xml:space="preserve">Infrastructure Partagée (Serveur Virtuel)</t>
  </si>
  <si>
    <t xml:space="preserve">Infrastructure Partagée (VDI)</t>
  </si>
  <si>
    <t xml:space="preserve">L'infrastructure partagée (LDAP)</t>
  </si>
  <si>
    <t xml:space="preserve">Markit Trades STP</t>
  </si>
  <si>
    <t xml:space="preserve">O365 (OWA)</t>
  </si>
  <si>
    <t xml:space="preserve">Object Charlie (Trésorerie)</t>
  </si>
  <si>
    <t xml:space="preserve">OIDR</t>
  </si>
  <si>
    <t xml:space="preserve">OIM</t>
  </si>
  <si>
    <t xml:space="preserve">Portail NBIN</t>
  </si>
  <si>
    <t xml:space="preserve">Confluence (Eureka)</t>
  </si>
  <si>
    <t xml:space="preserve">Incident</t>
  </si>
  <si>
    <t xml:space="preserve">outagestart</t>
  </si>
  <si>
    <t xml:space="preserve">outageend</t>
  </si>
  <si>
    <t xml:space="preserve">description</t>
  </si>
  <si>
    <t xml:space="preserve">BusinessImpact</t>
  </si>
  <si>
    <t xml:space="preserve">causedetails</t>
  </si>
  <si>
    <t xml:space="preserve">Resolution</t>
  </si>
  <si>
    <t xml:space="preserve">IC_Banking</t>
  </si>
  <si>
    <t xml:space="preserve">IC_Corpo</t>
  </si>
  <si>
    <t xml:space="preserve">IC_Fmarket</t>
  </si>
  <si>
    <t xml:space="preserve">IC_Wealth</t>
  </si>
  <si>
    <t xml:space="preserve">Duration</t>
  </si>
  <si>
    <t xml:space="preserve">Month</t>
  </si>
  <si>
    <t xml:space="preserve">name</t>
  </si>
  <si>
    <t xml:space="preserve">INC000001457720</t>
  </si>
  <si>
    <t xml:space="preserve">The Remedy application is unavailable.</t>
  </si>
  <si>
    <t xml:space="preserve">National Bank employees are unable to access Remedy in order to open, _x005F_x000D_
consult and update tickets in the following modules: Service Requests, Incident, _x005F_x000D_
Problem, Change and CMDB (Configuration Management Database).In addition, the virtual chat service to talk with an SAU agent is unavailable.</t>
  </si>
  <si>
    <t xml:space="preserve">The triggering event is related to the BMC provider's environment. The root cause is under investigation by the ITSM support team and will be confirmed through the problem management process under the PBI000000019904.</t>
  </si>
  <si>
    <t xml:space="preserve">The resolution steps from the BMC provider are unknown.</t>
  </si>
  <si>
    <t xml:space="preserve">00:24:00</t>
  </si>
  <si>
    <t xml:space="preserve">Infrastructure TI</t>
  </si>
  <si>
    <t xml:space="preserve">INC000001458140</t>
  </si>
  <si>
    <t xml:space="preserve">The Murex 3.1 application is unavailable.</t>
  </si>
  <si>
    <t xml:space="preserve">Multiple traders and other users (accounting, back office. etc.) of the bank cannot connect to the Murex application to enter transactions or see their position on the market. Therefore, other systems during the end of the day have not been supplied by Murex (MORE, ACCURATE, etc.). Due to the unavailability, the bank is experiencing difficulty serving users (traders, accounting, back office. etc.) that use Murex. In addition, the Treasury team is unable to view FX which is impacting the completion of the end of day balance.</t>
  </si>
  <si>
    <t xml:space="preserve">The triggering event is related to a filesystem corruption, caused by a system error during a routine operation when a file was erased. This operation caused the filesystem to crash and caused the corruption. The root cause of this error is currently unknown and under investigation by the unix support team._x005F_x000D_
_x005F_x000D_
This will be investigated under PBI000000019908.</t>
  </si>
  <si>
    <t xml:space="preserve">Unix restarted the server LRPCCMX0166 and repaired the corruption. Then remounted the volumes on the other Murex server._x005F_x000D_
Following this, Murex shut down all their services completely and started each of them one at a time until the application recovered._x005F_x000D_
_x005F_x000D_
The precise timeline will be provided at a later date by the Murex and Unix support teams.</t>
  </si>
  <si>
    <t xml:space="preserve">FMarkets</t>
  </si>
  <si>
    <t xml:space="preserve">INC000001462302</t>
  </si>
  <si>
    <t xml:space="preserve">The NBIN web Portal (Compass) is unavailable.</t>
  </si>
  <si>
    <t xml:space="preserve">The NBIN clients and employees are unable to access the NBIN web portal in order _x005F_x000D_
to access trading applications.</t>
  </si>
  <si>
    <t xml:space="preserve">The triggering event is related to AXPAPSZWAS31 and AXPAPSZWAS32 servers. The root cause is under investigation by the Compass support team and will be confirmed through the problem management process under the PBI000000019911.</t>
  </si>
  <si>
    <t xml:space="preserve">The two servers AXPAPSZWAS31 and AXPAPSZWAS32 were restarted simultaneously and the service was restored.</t>
  </si>
  <si>
    <t xml:space="preserve">02:36:00</t>
  </si>
  <si>
    <t xml:space="preserve">Wealth</t>
  </si>
  <si>
    <t xml:space="preserve">INC000001467170</t>
  </si>
  <si>
    <t xml:space="preserve">The NBIN web Portal is unavailable.</t>
  </si>
  <si>
    <t xml:space="preserve">The triggering event is linked to a significant addition of rights to approximately 200 Super Users. The primary cause is under investigation by the Compass support team and will be confirmed by the problem management process under PBI000000019926.</t>
  </si>
  <si>
    <t xml:space="preserve">The Websupport team restarted the two WAS servers AXPAPSZWAS31 and AXPAPSZWAS32 were restarted simultaneously to restore service.</t>
  </si>
  <si>
    <t xml:space="preserve">00:51:00</t>
  </si>
  <si>
    <t xml:space="preserve">INC000001472847</t>
  </si>
  <si>
    <t xml:space="preserve">The Global One application is unavailable.</t>
  </si>
  <si>
    <t xml:space="preserve">Traders are unable to login which prevent security lendings. In addition, the jobs are not executed which causes impacts on trading platforms (incorrect exposures) for traders to perform their activity trades.</t>
  </si>
  <si>
    <t xml:space="preserve">The triggering event is related to an application issue preventing the release of licenses. The root cause is under investigation by the Global One support team and will be confirmed through the problem management process under the PBI000000019934.</t>
  </si>
  <si>
    <t xml:space="preserve">The Unix support restarted the server LRPTRGBONE01 and the Global One support restarted the application manually.</t>
  </si>
  <si>
    <t xml:space="preserve">01:37:00</t>
  </si>
  <si>
    <t xml:space="preserve">INC000001480002</t>
  </si>
  <si>
    <t xml:space="preserve">The CMOD (Content Management On Demand) application is working in a degraded state.</t>
  </si>
  <si>
    <t xml:space="preserve">Telnat agents and certain customers using the internet banking service are unable to access the online _x005F_x000D_
statement for the month of August within the SBI -P and the CMOD applications in order to view their _x005F_x000D_
bank and credit statements as well as the delivery of checks.Take note that Commercial clients are not impacted.</t>
  </si>
  <si>
    <t xml:space="preserve">The triggering event is related to a problem with processing files. The root cause is under investigation by the CRB and CMOD support team and will be confirmed through the problem management process under the PBI000000020002.</t>
  </si>
  <si>
    <t xml:space="preserve">The CMOD support team removed the 2 statistics files and reprocessed the 27 files containing client bank statements.</t>
  </si>
  <si>
    <t xml:space="preserve">01:40:00</t>
  </si>
  <si>
    <t xml:space="preserve">Opérations &amp; Performance TI</t>
  </si>
  <si>
    <t xml:space="preserve">INC000001483438</t>
  </si>
  <si>
    <t xml:space="preserve">The IBM Content Navigator (ICN) application is working in a degraded state.</t>
  </si>
  <si>
    <t xml:space="preserve">The applications using the ICN are working in a degraded state:_x005F_x000D_
Atlas / AVBN_x005F_x000D_
  BFC - Bancaires aux Conseillers_x005F_x000D_
  BN Partenariat_x005F_x000D_
  FileNet OI_x005F_x000D_
  Transfert de Comptes_x005F_x000D_
  GDI Attachment_x005F_x000D_
  GDOE_x005F_x000D_
  ICN AIM FileNet_x005F_x000D_
  ICN AEM Forms_x005F_x000D_
  ICN OPS Report_x005F_x000D_
  ICN Rapport Paiement_x005F_x000D_
  IER Voute Documentaire OE_x005F_x000D_
  Oscar_x005F_x000D_
  Schémas comptables_x005F_x000D_
  Servicing APE_x005F_x000D_
  T80 Report Manager</t>
  </si>
  <si>
    <t xml:space="preserve">The triggering event is still undetermined, but the ECM support team is trying to determine if it is related to change CRQ000000076212 (OS MIGRATION 7.2) on the weekend. The primary cause is being investigated by the ECM support team and will be confirmed by the problem management process under PBI000000020203.</t>
  </si>
  <si>
    <t xml:space="preserve">In order to resolve the incident, the IBM Webadmin team restarted the PIECCM01 instance on the AXPPRIHS01 and AXPPRIHS02 servers.</t>
  </si>
  <si>
    <t xml:space="preserve">01:58:00</t>
  </si>
  <si>
    <t xml:space="preserve">Banking</t>
  </si>
  <si>
    <t xml:space="preserve">INC000001507141</t>
  </si>
  <si>
    <t xml:space="preserve">The Data Warehouse Trésorerie (DWH-T) application is unavailable.</t>
  </si>
  <si>
    <t xml:space="preserve">The data from accounting reports of Financial markets is not available, therefore the traders' positions cannot be calculated.</t>
  </si>
  <si>
    <t xml:space="preserve">The triggering event is related to Control-M batch jobs. The root cause is under investigation by the Control-M, MFT and DWH-T support teams and will be confirmed through the problem management process under the PBI000000020805.</t>
  </si>
  <si>
    <t xml:space="preserve">Control-M support re-ran the batch job “D1457_M_REQ_MFTGET_ACLODDET” which was in error. Following that, the subsequent batch jobs executed normally.</t>
  </si>
  <si>
    <t xml:space="preserve">05:32:00</t>
  </si>
  <si>
    <t xml:space="preserve">INC000001509538</t>
  </si>
  <si>
    <t xml:space="preserve">The SWIFT application is working in a degraded state.</t>
  </si>
  <si>
    <t xml:space="preserve">SWIFT transactions coming from Bankmate sent to LVTS are not received. Due to this incident, customers may hold the NBC responsible for the delays encountered and for their eventual late payments.</t>
  </si>
  <si>
    <t xml:space="preserve">The triggering event is related to a memory issue on the server OLBNCSAAP01. The root cause is under investigation by the SWIFT support team and will be confirmed through the problem management process under the PBI000000020907.</t>
  </si>
  <si>
    <t xml:space="preserve">The SAA support restarted the server OLBNCSAAP01.</t>
  </si>
  <si>
    <t xml:space="preserve">02:25:00</t>
  </si>
  <si>
    <t xml:space="preserve">INC000001523693</t>
  </si>
  <si>
    <t xml:space="preserve">The OIM application is working in a degraded state.</t>
  </si>
  <si>
    <t xml:space="preserve">A synchronization issue is present between active directory and OIM which is forcing a continual password reset for multiple users. Due to this incident, the impacted users are unable to access the National Banque network which is impacting their daily task.</t>
  </si>
  <si>
    <t xml:space="preserve">The triggering event is related to CRQ000000078605 (Changement de MDP). The root cause is under investigation by the IAM support team and will be confirmed through the problem management process under the PBI000000020828.</t>
  </si>
  <si>
    <t xml:space="preserve">The team for the password securisation project did a rollback of the change CRQ000000078605.</t>
  </si>
  <si>
    <t xml:space="preserve">03:00:00</t>
  </si>
  <si>
    <t xml:space="preserve">INC000001525557</t>
  </si>
  <si>
    <t xml:space="preserve">The Murex application is unavailable.</t>
  </si>
  <si>
    <t xml:space="preserve">Murex end of day tasks are on hold. Due to this other system dependant of Murex end of day were not fed by Murex (MORE, ACCURATE, DWH, MPFE, DMFin, SunGard, etc.). This is causing a delay in the end of day process.</t>
  </si>
  <si>
    <t xml:space="preserve">The triggering event is related to a missing index in the Murex database. The root cause is under investigation by the Murex support team and will be confirmed through the problem management process under the PBI000000020933.</t>
  </si>
  <si>
    <t xml:space="preserve">DBA support recreated the missing index in the Murex database. Following this, the ghost process was stopped via a restoration of the database by the DBA support.</t>
  </si>
  <si>
    <t xml:space="preserve">INC000001526730</t>
  </si>
  <si>
    <t xml:space="preserve">The Global One application is working in a degraded state,</t>
  </si>
  <si>
    <t xml:space="preserve">Dublin’s traders are unable to submit new trade request via Global one. However, they are able to visualize existing trades.</t>
  </si>
  <si>
    <t xml:space="preserve">The application lrptrgbone01 server lost permissions to the QRD file system, caused by security patches being applied to the OS by the QRD support team._x005F_x000D_
_x005F_x000D_
This will be investigated under PBI000000020934.</t>
  </si>
  <si>
    <t xml:space="preserve">The UNIX support team remounted the QRD disk on the Global One application server lrptrgbone01 with the assistance of QRD support.</t>
  </si>
  <si>
    <t xml:space="preserve">05:20:00</t>
  </si>
  <si>
    <t xml:space="preserve">INC000001536268</t>
  </si>
  <si>
    <t xml:space="preserve">The Croesus application is working in a degraded state.</t>
  </si>
  <si>
    <t xml:space="preserve">National Bank Financial advisors are unable to determine their client's positions within Croesus because the information within the application is not up to date. Due to this incident, financial advisors are unable to offer their clients optimal or accurate financial strategies.</t>
  </si>
  <si>
    <t xml:space="preserve">The triggering event is related to a file not being processed within the SLA. The root cause is under investigation by the Croesus support team and will be confirmed through the problem management process under the PBI000000020855.</t>
  </si>
  <si>
    <t xml:space="preserve">The Croesus support team restarted the Master file processing.</t>
  </si>
  <si>
    <t xml:space="preserve">02:47:00</t>
  </si>
  <si>
    <t xml:space="preserve">INC000001543363</t>
  </si>
  <si>
    <t xml:space="preserve">The Shared Application (Cameron Catalys) is unavailable.</t>
  </si>
  <si>
    <t xml:space="preserve">National Bank employees are unable to determine positions and risk of monetary losses because the rates are not up to date._x005F_x000D_
_x005F_x000D_
The impacted applications are:_x005F_x000D_
_x005F_x000D_
Position Watch Fill Management System _x005F_x000D_
Murex_x005F_x000D_
FX_x005F_x000D_
FX Grid</t>
  </si>
  <si>
    <t xml:space="preserve">The triggering event is related to a problem with the cluster within Cameron Catalys. The root cause is under investigation by the Cameron Catalys and Unix support teams and will be confirmed through the problem management process under the PBI000000021108.</t>
  </si>
  <si>
    <t xml:space="preserve">The BNC Unix support team stopped the services on the LRPTRCATFE04 server and the application team redirected the LRPTRCATFE03 traffic to the LRPTRCATFE04 server to restore service.</t>
  </si>
  <si>
    <t xml:space="preserve">00:53:00</t>
  </si>
  <si>
    <t xml:space="preserve">INC000001551791</t>
  </si>
  <si>
    <t xml:space="preserve">The Shared Infrastructure (AS400) is working in a degraded state.</t>
  </si>
  <si>
    <t xml:space="preserve">Multiple jobs did not complete in time in the AS400 environment, leading to impacts on several applications; More impacts will be communicated as they as confirmed:_x005F_x000D_
_x005F_x000D_
_x005F_x000D_
-	Reconciliation in Global One for the date of September 12th is unavailable which could lead to potential losses._x005F_x000D_
_x005F_x000D_
- Murex/Bloomberg: price adjustments were not made in date of september 13. - Position Watch FX Recon _x005F_x000D_
_x005F_x000D_
- FX Grid/Nego/Exposure_x005F_x000D_
_x005F_x000D_
- Accurate</t>
  </si>
  <si>
    <t xml:space="preserve">The triggering event is related to a delay in a batch job. The root cause is under investigation by the As400 support team and will be confirmed through the problem management process under the PBI000000021122.</t>
  </si>
  <si>
    <t xml:space="preserve">The AS400 support team processed the missing files in the "Intra-Day" process at 11:00.</t>
  </si>
  <si>
    <t xml:space="preserve">INC000001554067</t>
  </si>
  <si>
    <t xml:space="preserve">The Markit Trades STP application is unavailable.</t>
  </si>
  <si>
    <t xml:space="preserve">The Markit Trades STP application is not sending transaction confirmations to Murex. Due to this incident, the traders of the National Bank are unable to determine their positions._x005F_x000D_
Take note that traders in Hong Kong are impacted. North American and London traders are not affected at the moment because the markets are closed.</t>
  </si>
  <si>
    <t xml:space="preserve">The triggering event is related to a communication issue between the Markit Trades STP application and the vendor. The root cause is under investigation by the Markit Trades support team and will be confirmed through the problem management process under the PBI000000021126.</t>
  </si>
  <si>
    <t xml:space="preserve">The Markit Trades vendor reset the token to restore the connection.</t>
  </si>
  <si>
    <t xml:space="preserve">03:14:00</t>
  </si>
  <si>
    <t xml:space="preserve">INC000001564123</t>
  </si>
  <si>
    <t xml:space="preserve">National Bank employees are unable to access Remedy in order to open, _x005F_x000D_
consult and update tickets in the following modules: Service Requests, Incident, _x005F_x000D_
Problem, Change and CMDB (Configuration Management Database).</t>
  </si>
  <si>
    <t xml:space="preserve">The triggering event is unknown. The root cause is under investigation by the Remedy support team and will be confirmed through the problem management process under the PBI000000021301.</t>
  </si>
  <si>
    <t xml:space="preserve">00:20:00</t>
  </si>
  <si>
    <t xml:space="preserve">INC000001567758</t>
  </si>
  <si>
    <t xml:space="preserve">The triggering event is related to an outage at the Remedy provider. The root cause is under investigation by the Remedy support team and will be confirmed through the problem management process under the PBI000000021412.</t>
  </si>
  <si>
    <t xml:space="preserve">The service was restored by the Remedy provider.</t>
  </si>
  <si>
    <t xml:space="preserve">00:34:00</t>
  </si>
  <si>
    <t xml:space="preserve">INC000001571726</t>
  </si>
  <si>
    <t xml:space="preserve">The triggering event is related to a corruption on the DB_T00mx3 database.  The root cause is under investigation by the Murex 3.1 support team and will be confirmed through the problem management process under the PBI000000021417.</t>
  </si>
  <si>
    <t xml:space="preserve">The BNC DBA support team restarted the DB_T00mx3 database. The Unix-ATA support team restarted the LRPCCMX0165 server. The Murex support team restarted the Murex 3.1 services.</t>
  </si>
  <si>
    <t xml:space="preserve">INC000001572482</t>
  </si>
  <si>
    <t xml:space="preserve">The GestionClient aplication is unavailable.</t>
  </si>
  <si>
    <t xml:space="preserve">Users from the FDS (Financement Des Sociétés) sector and Intria are unable to access data sources (ACBS, CO, FCC) to manage clients.</t>
  </si>
  <si>
    <t xml:space="preserve">The Wintel support team confirms that the application server WSPCSCIBGC01 was unresponsive due to a known issue with Windows 8 regarding session management. Sessions were not being freed, thus preventing Control-M from establishing new sessions to run the required jobs._x005F_x000D_
_x005F_x000D_
This will be investigated under PBI000000021312.</t>
  </si>
  <si>
    <t xml:space="preserve">Wintel restarted the application server WSPCSCIBGC01.</t>
  </si>
  <si>
    <t xml:space="preserve">00:15:00</t>
  </si>
  <si>
    <t xml:space="preserve">INC000001573505</t>
  </si>
  <si>
    <t xml:space="preserve">Shared Infrastructure (Network) is working in a degraded state.</t>
  </si>
  <si>
    <t xml:space="preserve">The following applications had an unavailability of their services for 3 minutes:_x005F_x000D_
_x005F_x000D_
- PCIS Orion _x005F_x000D_
_x005F_x000D_
- PCIS Legaxy_x005F_x000D_
_x005F_x000D_
- SBIv1_x005F_x000D_
- SBIv2 _x005F_x000D_
_x005F_x000D_
- SBMv2 _x005F_x000D_
_x005F_x000D_
- SBIE_x005F_x000D_
_x005F_x000D_
- ICE_x005F_x000D_
_x005F_x000D_
- AEM</t>
  </si>
  <si>
    <t xml:space="preserve">The triggering event is connected to a fault with a power bar that supplies power to a Bell equipment (router).The primary cause is being investigated by the GHSI support team.</t>
  </si>
  <si>
    <t xml:space="preserve">No action taken to resolve the incident.</t>
  </si>
  <si>
    <t xml:space="preserve">00:03:00</t>
  </si>
  <si>
    <t xml:space="preserve">INC000001575213</t>
  </si>
  <si>
    <t xml:space="preserve">The triggering event is related to a memory crash of the host on the NUTANIXESX119 server that went down and became unstable afterwards during the day. The primary cause is being investigated by the VMWare Support team and will be confirmed through the problem management process under the PBI000000021320.</t>
  </si>
  <si>
    <t xml:space="preserve">In order to solve the incident, a failover of the Murex environment from Longueuil to Drummondville was carried out.</t>
  </si>
  <si>
    <t xml:space="preserve">INC000001575737</t>
  </si>
  <si>
    <t xml:space="preserve">The O365 (OWA) application is working in degraded state.</t>
  </si>
  <si>
    <t xml:space="preserve">Internal and external employees are unable to access their emails via OWA. However, users with the Outlook application can still access their emails.</t>
  </si>
  <si>
    <t xml:space="preserve">The triggering event is related to a new firewall rule. The root cause is under investigation by the Cyber Security support team and will be confirmed through the problem management process under the PBI000000021421.</t>
  </si>
  <si>
    <t xml:space="preserve">A new firewall rule was put in place by the Cyber Security team.</t>
  </si>
  <si>
    <t xml:space="preserve">00:35:00</t>
  </si>
  <si>
    <t xml:space="preserve">INC000001600383</t>
  </si>
  <si>
    <t xml:space="preserve">The application Bloomberg is working in a degraded state.</t>
  </si>
  <si>
    <t xml:space="preserve">The traders are unable to access data within the Bloomberg application. Consequently, the traders are unable to prepare the daily prices and executing transactions.</t>
  </si>
  <si>
    <t xml:space="preserve">The triggering event is related to an outage at the Bloomberg provider. The root cause is under investigation by the Bloomberg support team and will be confirmed through the problem management process under the PBI000000021503.</t>
  </si>
  <si>
    <t xml:space="preserve">The issue was corrected at the Bloomberg provider.</t>
  </si>
  <si>
    <t xml:space="preserve">00:28:00</t>
  </si>
  <si>
    <t xml:space="preserve">INC000001604679</t>
  </si>
  <si>
    <t xml:space="preserve">Position Watch Fill Management System</t>
  </si>
  <si>
    <t xml:space="preserve">The Position Watch Fill Management System application is working in a degraded state.</t>
  </si>
  <si>
    <t xml:space="preserve">Traders' positioning is unavailable via Position Watch, which is preventing decision making from traders.</t>
  </si>
  <si>
    <t xml:space="preserve">The triggering event is related to the link between the New York and Toronto sites. The root cause is under investigation by the Telecom-Data and Position Watch support teams and will be confirmed through the problem management process under the PBI000000021609.</t>
  </si>
  <si>
    <t xml:space="preserve">The SmartTrade provider switched their traffic on a secondary link to mitigate the impacts_x005F_x000D_
_x005F_x000D_
More details will be provided in the SmartTrade provider's RCA.</t>
  </si>
  <si>
    <t xml:space="preserve">02:37:00</t>
  </si>
  <si>
    <t xml:space="preserve">INC000001609357</t>
  </si>
  <si>
    <t xml:space="preserve">L'application partagée (Suite Atlassian)</t>
  </si>
  <si>
    <t xml:space="preserve">The shared application (Atlassian Suite) is unavailable.</t>
  </si>
  <si>
    <t xml:space="preserve">All services consuming the shared application (Atlassian Suite) are unavailable. _x005F_x000D_
_x005F_x000D_
JIRA_x005F_x000D_
_x005F_x000D_
  Confluence_x005F_x000D_
_x005F_x000D_
  BitBucket_x005F_x000D_
_x005F_x000D_
  Github_x005F_x000D_
_x005F_x000D_
VSD Call Center documentation via Confluence._x005F_x000D_
Application Development of Digital Channels.</t>
  </si>
  <si>
    <t xml:space="preserve">The triggering event is related to a loss of connection with AWS EC2 (Amazon Web Services). The primary cause is being investigated by the Atlassian support team and will be confirmed through the problem management process under the PBI000000021707.</t>
  </si>
  <si>
    <t xml:space="preserve">The Atlassian support team has confirmed the resumption of AWS EC2 connections (Amazon Web Services) and a ticket from the external provider has been opened. No action has been taken to resolve the incident.</t>
  </si>
  <si>
    <t xml:space="preserve">00:23:00</t>
  </si>
  <si>
    <t xml:space="preserve">Shared Services</t>
  </si>
  <si>
    <t xml:space="preserve">INC000001612830</t>
  </si>
  <si>
    <t xml:space="preserve">MFT</t>
  </si>
  <si>
    <t xml:space="preserve">The MFT application is working in a degraded state.</t>
  </si>
  <si>
    <t xml:space="preserve">Some automated transfers are not working via MFT._x005F_x000D_
_x005F_x000D_
List of impacted applications:_x005F_x000D_
_x005F_x000D_
- Position Watch_x005F_x000D_
- Global One_x005F_x000D_
- CardPac_x005F_x000D_
- R-Broker_x005F_x000D_
- EIN/ODS_x005F_x000D_
- SmartCo_x005F_x000D_
- GlobalPlus_x005F_x000D_
- Time Series_x005F_x000D_
- Data Warehouse_x005F_x000D_
- Object Charlie Trésorerie and International_x005F_x000D_
- RWealth and RTerm_x005F_x000D_
- Protaxes_x005F_x000D_
- MDM-AE_x005F_x000D_
- MDM-CDI_x005F_x000D_
_x005F_x000D_
Please note that this list will be updated as necessary.</t>
  </si>
  <si>
    <t xml:space="preserve">The triggering event is related to the disk space on "onpicvisvm01.prd.bngf.local:/PIC4007MFT01". The root cause is under investigation by the IBM San-Storage support team and will be confirmed through the problem management process under the PBI000000021713.</t>
  </si>
  <si>
    <t xml:space="preserve">IBM-San storage support deleted a "snapshot" using 1.5Tb present on the file system "onpicvisvm01.prd.bngf.local:/PIC4007MFT01"._x005F_x000D_
_x005F_x000D_
_x005F_x000D_
Furthermore, the team increased the space by 2Tb for a total of 7Tb to prevent further occurrences.</t>
  </si>
  <si>
    <t xml:space="preserve">03:38:00</t>
  </si>
  <si>
    <t xml:space="preserve">INC000001616005</t>
  </si>
  <si>
    <t xml:space="preserve">Max-Arrow</t>
  </si>
  <si>
    <t xml:space="preserve">The Max-Arrow application is working in a degraded state.</t>
  </si>
  <si>
    <t xml:space="preserve">Users are no longer able to manage the settlement of CDS transactions. There is a reputational risk that could impact bank customers and cause problems for other banks or brokers, in addition to the risk of having to pay penalties.</t>
  </si>
  <si>
    <t xml:space="preserve">The triggering event is related to an issue with the database caused by a wrong request. The root cause is under investigation by the Max-Arrow support team and will be confirmed through the problem management process under the PBI000000021717.</t>
  </si>
  <si>
    <t xml:space="preserve">The problematic request was stopped by the Max-Arrow support.</t>
  </si>
  <si>
    <t xml:space="preserve">00:26:00</t>
  </si>
  <si>
    <t xml:space="preserve">INC000001625563</t>
  </si>
  <si>
    <t xml:space="preserve">The triggering event is related to an outage at the Remedy provider. The root cause is under investigation by the Remedy support team and will be confirmed through the problem management process.</t>
  </si>
  <si>
    <t xml:space="preserve">The Remedy provider resolved the issue.</t>
  </si>
  <si>
    <t xml:space="preserve">INC000001627612</t>
  </si>
  <si>
    <t xml:space="preserve">Infrastructure Partagée (Firewall)</t>
  </si>
  <si>
    <t xml:space="preserve">The Shared Infrastructure (Firewall) is working in a degraded state.</t>
  </si>
  <si>
    <t xml:space="preserve">Users are unable to access files saved on the file servers.  This access is _x005F_x000D_
critical to certain functions within financial markets, and could impact deals, _x005F_x000D_
research production, and financial markets operations related business. Take note the impacted VLANs are located at 130 King an impac the traders in Toronto, Montreal, Calgary and New York. _x005F_x000D_
Due to this incident, a component within MFT (Globalscape) is working in a degraded state. _x005F_x000D_
_x005F_x000D_
The investment and financing teams in Toronto and Montreal are also impacted.</t>
  </si>
  <si>
    <t xml:space="preserve">The triggering event is related to a known bug in the ASA5525-X firewall. The root cause is under investigation by the Cybersecurity support team and will be confirmed through the problem management process under the PBI000000021907.</t>
  </si>
  <si>
    <t xml:space="preserve">The Cybersecurity team restarted the ASA5525-X firewall to restore service.</t>
  </si>
  <si>
    <t xml:space="preserve">04:00:00</t>
  </si>
  <si>
    <t xml:space="preserve">INC000001632385</t>
  </si>
  <si>
    <t xml:space="preserve">The Shared Infrastructure (Network) at Hong Kong is working in a degraded state.</t>
  </si>
  <si>
    <t xml:space="preserve">The traders situated in the Hong Kong office are unable to access their workstations. Due to this incident, the traders are unable to prepare for the stock market, which opens at 21:30 EST (09:30 local time)._x005F_x000D_
_x005F_x000D_
Take note that the Bank's internal network is inaccessible but that the "local" (internet) network remains available.</t>
  </si>
  <si>
    <t xml:space="preserve">The triggering event is related to a connection able issue within a VPN tunnel. The root cause is under investigation by the Telecom-Data support team and will be confirmed through the problem management process.</t>
  </si>
  <si>
    <t xml:space="preserve">The Telecom-Data team erased the routing tables so a new route could be created.</t>
  </si>
  <si>
    <t xml:space="preserve">03:20:00</t>
  </si>
  <si>
    <t xml:space="preserve">INC000001639576</t>
  </si>
  <si>
    <t xml:space="preserve">Outgoing calls (Okta, Google, etc.) that pass through the Drummondville Datapowers are not returned. Due to this incident, several applications are working in a degraded state (intermittent access issues): _x005F_x000D_
_x005F_x000D_
Datapower Externe_x005F_x000D_
SBIPv2 _x005F_x000D_
SBM _x005F_x000D_
MCP _x005F_x000D_
_x005F_x000D_
Other services and applications making external calls from Drummondville are also potentially impacted.</t>
  </si>
  <si>
    <t xml:space="preserve">The triggering event is related to the change CRQ000000082830 - Config Virtual MAC pour 44k (CPFWDRUINT, CPVSDRUVSX(CNT, NMZ, B2B), CPVSMTLVSX(CNT,NMZ)). The root cause is under investigation by the Cybersecurity support team and will be confirmed through the problem management process.</t>
  </si>
  <si>
    <t xml:space="preserve">The Cybersecurity team restarted the interfaces on the firewall CPFWDRUINT to restore service.</t>
  </si>
  <si>
    <t xml:space="preserve">01:17:00</t>
  </si>
  <si>
    <t xml:space="preserve">INC000001641761</t>
  </si>
  <si>
    <t xml:space="preserve">TRAM</t>
  </si>
  <si>
    <t xml:space="preserve">The TRAM application is unavailable.</t>
  </si>
  <si>
    <t xml:space="preserve">The BackOffice Treasury team is unable to confirm currency transactions between Object Charlie Treasury and TRAM with counterparties in order to make payments. Due to this incident, the detection of errors assign positions inside the currency traders' portfolios is prevented.</t>
  </si>
  <si>
    <t xml:space="preserve">The triggering event is attached to the C: 100% full disk on the WSPTRSQLBN03 server. The primary cause is being investigated by the Wintel support team and will be confirmed by the problem management process under PBI000000022302.</t>
  </si>
  <si>
    <t xml:space="preserve">In order to resolve, the Wintel support team released 22G of space on the WSPTRSQLBN03 server.</t>
  </si>
  <si>
    <t xml:space="preserve">04:09:00</t>
  </si>
  <si>
    <t xml:space="preserve">INC000001644215</t>
  </si>
  <si>
    <t xml:space="preserve">Fichier central client</t>
  </si>
  <si>
    <t xml:space="preserve">The Client Central File application is working in a degraded state.</t>
  </si>
  <si>
    <t xml:space="preserve">Fichier Central des informations Clients (FCC) file of individuals and companies of the Bank._x005F_x000D_
System with the BNC customer profile used by most BNC systems and sectors._x005F_x000D_
- STA particuliers et commercial- Portail VSD- Guichets</t>
  </si>
  <si>
    <t xml:space="preserve">On October 22nd, a severity 2 FCC incident was raised due to the change CRQ000000081996. Consequently, Fichier Central des informations Clients (FCC) file of individuals and companies of the Bank were not reachable for NBC employees. This affected the FCC bridge server 1 to 4.</t>
  </si>
  <si>
    <t xml:space="preserve">Job D0680J16 aborted abnormally because a security policy that gave permission to user ID D0680 to make an image copy was not encrypted.</t>
  </si>
  <si>
    <t xml:space="preserve">05:16:00</t>
  </si>
  <si>
    <t xml:space="preserve">INC000001645887</t>
  </si>
  <si>
    <t xml:space="preserve">Infrastructure Partagée (E-mail)</t>
  </si>
  <si>
    <t xml:space="preserve">The Shared Infrastructure (E-mail) is working in a degraded state</t>
  </si>
  <si>
    <t xml:space="preserve">Internal and external bank employees using Outlook can not send anonymous emails that use Scan to email or via SMTP._x005F_x000D_
_x005F_x000D_
Applications affected in the automatic sending of emails:_x005F_x000D_
- Murex 3.1_x005F_x000D_
- GlobalOne- Portail Opérationnel WEB - POW_x005F_x000D_
Additional impacts to be confirmed.</t>
  </si>
  <si>
    <t xml:space="preserve">Logs accumulated in the Exchange queue saturated the servers Wspccexmbx0628 /0629 at 44go.</t>
  </si>
  <si>
    <t xml:space="preserve">The Exchange team stopped the Edge Transport service, stopped the accumulation of logs in the queue and purged it and restarted the services.</t>
  </si>
  <si>
    <t xml:space="preserve">02:19:00</t>
  </si>
  <si>
    <t xml:space="preserve">INC000001651035</t>
  </si>
  <si>
    <t xml:space="preserve">Client-System-Key</t>
  </si>
  <si>
    <t xml:space="preserve">The Client-System-Key application is unavailable.</t>
  </si>
  <si>
    <t xml:space="preserve">The CreateFCC functionality within the Client-System-Key application is unavailable. Due to this incident, employees at the branch are unable to create a new FCC (account ID in the mainframe) for potential clients requesting to open a new bank account, purchase RRSP’s, apply for a mortgage, etc._x005F_x000D_
_x005F_x000D_
Please note that existing clients, already associated to an FCC, are not impacted.</t>
  </si>
  <si>
    <t xml:space="preserve">The triggering event is related to a database issue. The root cause is under investigation by the application support team and will be confirmed through the problem management process.</t>
  </si>
  <si>
    <t xml:space="preserve">The DBA support team restored a directory in the secondary database (LRPCCFCCPD0321)._x005F_x000D_
_x005F_x000D_
The application support team restarted the application.</t>
  </si>
  <si>
    <t xml:space="preserve">07:34:00</t>
  </si>
  <si>
    <t xml:space="preserve">INC000001651077</t>
  </si>
  <si>
    <t xml:space="preserve">The shared infrastructure (Network) is working in a degraded state.</t>
  </si>
  <si>
    <t xml:space="preserve">Several external applications are impacted sporadically:_x005F_x000D_
_x005F_x000D_
-SBIPv1_x005F_x000D_
-SBIv2_x005F_x000D_
-SBMP_x005F_x000D_
-SBME_x005F_x000D_
_x005F_x000D_
-SBIE_x005F_x000D_
-PCIS (Orion)_x005F_x000D_
_x005F_x000D_
_x005F_x000D_
- PCIS Legacy_x005F_x000D_
-TFC Externe_x005F_x000D_
-GDI _x005F_x000D_
- MFT_x005F_x000D_
- TPVI - POS_x005F_x000D_
- CRM-UNISSON_x005F_x000D_
- Murex _x005F_x000D_
_x005F_x000D_
- NATgo_x005F_x000D_
_x005F_x000D_
- Open Advantage</t>
  </si>
  <si>
    <t xml:space="preserve">On October 24th, 2019, at 11:06, a severity 1 incident impacting the BNC's external network was raised due to many applications having external connexion issues due to a corrective activity executed by the CyberSecurity GSSO support team executed to correct an issue regarding MAC addresses on the BNC's external firewall. Consequently, several critical applications lost their connection to the extranet.</t>
  </si>
  <si>
    <t xml:space="preserve">The Cybersecurity GSSO support team restart the Viger firewall, which propagated the MAC addresses and resolved the impacts.</t>
  </si>
  <si>
    <t xml:space="preserve">03:18:00</t>
  </si>
  <si>
    <t xml:space="preserve">INC000001652672</t>
  </si>
  <si>
    <t xml:space="preserve">Application Partagée (Control-M)</t>
  </si>
  <si>
    <t xml:space="preserve">The Shared Application (Control-M) is unavailable.</t>
  </si>
  <si>
    <t xml:space="preserve">The Control-M (Batch Scheduler for Distributed Platforms, Central and AS400) application is unavailable. Due to this incident, several applications will have a delay in their file processing, such as: _x005F_x000D_
_x005F_x000D_
Datastage _x005F_x000D_
Data Warehouse _x005F_x000D_
Murex _x005F_x000D_
AS400 _x005F_x000D_
Global One _x005F_x000D_
SmartCo _x005F_x000D_
Accurate _x005F_x000D_
Market Risk _x005F_x000D_
_x005F_x000D_
Other validations of impacts are in progress</t>
  </si>
  <si>
    <t xml:space="preserve">The triggering event is related to a communication issue between the Control-M servers and the database. The root cause is under investigation by the Control-M support team and will be confirmed through the problem management process.</t>
  </si>
  <si>
    <t xml:space="preserve">The DBA-ATA support team restarted the WSPDACTRLM01 server to re-establish communication with the Control-M application server.</t>
  </si>
  <si>
    <t xml:space="preserve">01:46:00</t>
  </si>
  <si>
    <t xml:space="preserve">INC000001656180</t>
  </si>
  <si>
    <t xml:space="preserve">Object Charlie - International v3.41</t>
  </si>
  <si>
    <t xml:space="preserve">The Object Charlie - International v3.41 application is working in a degraded state.</t>
  </si>
  <si>
    <t xml:space="preserve">The end-of-day production of the Object Charlie International is on hold. This impact the following applications:_x005F_x000D_
Data Warehouse_x005F_x000D_
Accurate</t>
  </si>
  <si>
    <t xml:space="preserve">The triggering event is related to an issue with the min/max range for a rate. The root cause is under investigation by the Market data support team and will be confirmed through the problem management process under the PBI000000022604.</t>
  </si>
  <si>
    <t xml:space="preserve">The Smartco support and Object Charlie corrected the rate in problem and restarted the Object Charlie International end-of-day.</t>
  </si>
  <si>
    <t xml:space="preserve">INC000001656852</t>
  </si>
  <si>
    <t xml:space="preserve">The shared infrastructure (Network) is unavailable.</t>
  </si>
  <si>
    <t xml:space="preserve">The bank users are unable to access networks from any of the BNC offices, in addition, some users are experiencing intermittent issues connecting to the VPN and the Guest WiFi is unavailable.</t>
  </si>
  <si>
    <t xml:space="preserve">The triggering event is related to issue with the ISE. The root cause is under investigation by the Cyber Security support team and will be confirmed through the problem management process.</t>
  </si>
  <si>
    <t xml:space="preserve">The Telecom Data support as put in place a script to bypass the NAC for the wired network and the Cyber Security restarted the PSN server.</t>
  </si>
  <si>
    <t xml:space="preserve">08:15:00</t>
  </si>
  <si>
    <t xml:space="preserve">INC000001659450</t>
  </si>
  <si>
    <t xml:space="preserve">Infrastructure partagée (Firewall)</t>
  </si>
  <si>
    <t xml:space="preserve">The shared infrastructure (Firewall) is working in a degraded state.</t>
  </si>
  <si>
    <t xml:space="preserve">Several sites are currently inaccessible:_x005F_x000D_
_x005F_x000D_
_x005F_x000D_
- https://fbngp.ca/_x005F_x000D_
_x005F_x000D_
- https://fbn.ca/_x005F_x000D_
_x005F_x000D_
- bncd.ca_x005F_x000D_
_x005F_x000D_
- Myportfolioplus.ca_x005F_x000D_
_x005F_x000D_
- bnmf.ca-_x005F_x000D_
_x005F_x000D_
- SBIP V1 (Externe)_x005F_x000D_
_x005F_x000D_
- SBIE (Externe)_x005F_x000D_
_x005F_x000D_
- BNC.ca (Externe)_x005F_x000D_
_x005F_x000D_
- TPVI_x005F_x000D_
_x005F_x000D_
Clients are trying to connect to the sites and are unable to connect.</t>
  </si>
  <si>
    <t xml:space="preserve">The triggering event is related to Akamai external provider. The root cause is under investigation by the Cybersécurité (Firewall) support team.</t>
  </si>
  <si>
    <t xml:space="preserve">Services are restored on the external Akamai provider's side.</t>
  </si>
  <si>
    <t xml:space="preserve">01:18:00</t>
  </si>
  <si>
    <t xml:space="preserve">INC000001660184</t>
  </si>
  <si>
    <t xml:space="preserve">T80 (Marathon - OSS)</t>
  </si>
  <si>
    <t xml:space="preserve">The T80 (Marathon - OSS) application is working in degraded state.</t>
  </si>
  <si>
    <t xml:space="preserve">OSS reports are not received in CMOD. Reconciliations can not be made by the line of business._x005F_x000D_
_x005F_x000D_
Impacted applications : _x005F_x000D_
_x005F_x000D_
- OSS_x005F_x000D_
- DWH_x005F_x000D_
- CMOD_x005F_x000D_
- DMFIN</t>
  </si>
  <si>
    <t xml:space="preserve">The triggering event is related to the change CRQ000000082268. The root cause is under investigation by the IBM support team and will be confirmed through the problem management process.</t>
  </si>
  <si>
    <t xml:space="preserve">Batch jobs were re-ran after the T80 processing queues were restarted to properly direct report files.</t>
  </si>
  <si>
    <t xml:space="preserve">07:19:00</t>
  </si>
  <si>
    <t xml:space="preserve">INC000001665439</t>
  </si>
  <si>
    <t xml:space="preserve">The Murex 3.1 application lost access to its database, consequently the intraday production is stopped, and the Murex employee are unable to access the application. In addition, the calculation of the US Federal Reserve rate is stopped. Multiple traders and other users (accounting, back office. etc.) of the bank cannot connect to the Murex application to enter transactions or see their position on the market.</t>
  </si>
  <si>
    <t xml:space="preserve">The triggering event is related to I/O errors on the database. The root cause is under investigation by the SDDC support team and will be confirmed through the problem management process.</t>
  </si>
  <si>
    <t xml:space="preserve">Unix support performed a complete restart of the Murex environments.</t>
  </si>
  <si>
    <t xml:space="preserve">INC000001692538</t>
  </si>
  <si>
    <t xml:space="preserve">Infrastructure Partagée (Extranet)</t>
  </si>
  <si>
    <t xml:space="preserve">The shared infrastructure (Extranet) is unavailable.</t>
  </si>
  <si>
    <t xml:space="preserve">- Internet access for Toronto users and some unavailable branches. _x005F_x000D_
_x005F_x000D_
_x005F_x000D_
_x005F_x000D_
- Servers in the DMZ Internet Corporate Area (172.16.202.0/23).- OKTA authentication for corporate banking using OPENSHIFT. _x005F_x000D_
_x005F_x000D_
List of impacted applications:_x005F_x000D_
- SBIPv2_x005F_x000D_
- SBM_x005F_x000D_
- SAP (All processes using Okta: CCIA, E-Mortgage, MFY, - - Boomerang)_x005F_x000D_
- PCIS Orion</t>
  </si>
  <si>
    <t xml:space="preserve">The triggering event is related to the firewalls of the frames CPFWDRUINT01 and CPFWDRUINT02. The root cause is under investigation by the Cyber Securit&amp;eacute;-GSSO support team and will be confirmed through the problem management process.</t>
  </si>
  <si>
    <t xml:space="preserve">The Cyber Security-GSSO restarted the firewalls of the frames CPFWDRUINT01 and CPFWDRUINT02.</t>
  </si>
  <si>
    <t xml:space="preserve">02:30:00</t>
  </si>
  <si>
    <t xml:space="preserve">INC000001701798</t>
  </si>
  <si>
    <t xml:space="preserve">The Shared Infrastructure (Network) at Hong Kong is unavailable.</t>
  </si>
  <si>
    <t xml:space="preserve">The traders situated in the Hong Kong office are unable to access their workstations. Due to this incident, the traders are unable to prepare for the stock market.</t>
  </si>
  <si>
    <t xml:space="preserve">The triggering event is related to the VPN tunnel between Montr&amp;eacute;al and Hong Kong. The root cause is under investigation by the Telecom-Data support team and will be confirmed through the problem management process.</t>
  </si>
  <si>
    <t xml:space="preserve">Telecom-Data support performed a reset of the Border Gateway Protocol (BGP) on the VP tunnel to Hong Kong.</t>
  </si>
  <si>
    <t xml:space="preserve">00:30:00</t>
  </si>
  <si>
    <t xml:space="preserve">INC000001708514</t>
  </si>
  <si>
    <t xml:space="preserve">The shared application (Murex 3.1) is unavailable.</t>
  </si>
  <si>
    <t xml:space="preserve">Risk that the VAR prelimanary regulatory target of 100% for 9:00 am will not be _x005F_x000D_
met. - Completed- Some of the operation departments using Murex are waiting for their reports to complete the day's settlement. - Completed</t>
  </si>
  <si>
    <t xml:space="preserve">The triggering event is related to CRQ000000084222 (Murex release upgrade from 3.1.36 -&amp;gt; 3.1.41). The root cause is under investigation by the Murex support team and will be confirmed through the problem management process.</t>
  </si>
  <si>
    <t xml:space="preserve">To make the Murex service available again, the Murex support team restarted the application services.</t>
  </si>
  <si>
    <t xml:space="preserve">INC000001708810</t>
  </si>
  <si>
    <t xml:space="preserve">GDI - Gestion des instructions (Electronic Instructions)</t>
  </si>
  <si>
    <t xml:space="preserve">The GDI - Electronic Instructions is working in a degraded state.</t>
  </si>
  <si>
    <t xml:space="preserve">Thousands of instructions dated November 20, 2019 were not transferred to OSS. (6567)_x005F_x000D_
_x005F_x000D_
(15126 + 248 systematic plan instructions)_x005F_x000D_
_x005F_x000D_
1 - The 248 systematic plan instructions of November 20 have been processed today and are now in GDI._x005F_x000D_
_x005F_x000D_
2 - Pending Transactions :Transactions as of November 20th that will be processed in OSS tonight (15126) : _x005F_x000D_
_x005F_x000D_
- Bank transfer_x005F_x000D_
- BV adjustment_x005F_x000D_
- Contribution in property_x005F_x000D_
- Debit Notice_x005F_x000D_
- Receipt of values_x005F_x000D_
- Withdrawal RRIF, LIF_x005F_x000D_
- Bank transfer (incoming)_x005F_x000D_
- check deposit_x005F_x000D_
- Transfer in money / securities_x005F_x000D_
- Registered Account Withdrawal_x005F_x000D_
- Dividend reinvestment_x005F_x000D_
- OFFER_x005F_x000D_
- Subscription_x005F_x000D_
- Substitution_x005F_x000D_
- Value Null_x005F_x000D_
- Money contribution_x005F_x000D_
- Conversion_x005F_x000D_
- RESP contribution in cash</t>
  </si>
  <si>
    <t xml:space="preserve">GDI jobs in Control-M were executed late due to a rogue job that ran over for 12 hours.</t>
  </si>
  <si>
    <t xml:space="preserve">The GDI team confirms that the Systematic Plan and OSS Instructions have been processed normally through EOD and are now in GDI.</t>
  </si>
  <si>
    <t xml:space="preserve">10:05:00</t>
  </si>
  <si>
    <t xml:space="preserve">INC000001731958</t>
  </si>
  <si>
    <t xml:space="preserve">The triggering event is related to a loss of connection to the Sybase databse. The root cause is being investigated by the Murex support team and will be confirmed by the problem management process.</t>
  </si>
  <si>
    <t xml:space="preserve">The Murex support team restarted the Sybase databse.</t>
  </si>
  <si>
    <t xml:space="preserve">INC000001710986</t>
  </si>
  <si>
    <t xml:space="preserve">The shared application Data Warehouse Tr&amp;eacute;sorerie (DWH-T) is not available.</t>
  </si>
  <si>
    <t xml:space="preserve">The data from accounting reports of Financial markets is not availble, therefore the traders' positions cannot be calculated._x005F_x000D_
_x005F_x000D_
Furthermore, multiple applications which depends on updated data within DWH-T are impacted as the overnight batch jobs are not meeting the SLAs._x005F_x000D_
_x005F_x000D_
- Datawarehouse_x005F_x000D_
- DMFIN_x005F_x000D_
- DMRISK_x005F_x000D_
- IRIS_x005F_x000D_
- Accounting Risk Analyst.</t>
  </si>
  <si>
    <t xml:space="preserve">The triggering event is related to the disks on the database server AXPDABIORA02. The root cause is under investigation by the IBM-UNIX support team and will be confirmed through the problem management process.</t>
  </si>
  <si>
    <t xml:space="preserve">The IBM-SAN support team has changed the configuration of the problematic disk to be compliant with other disks on the server.</t>
  </si>
  <si>
    <t xml:space="preserve">13:18:00</t>
  </si>
  <si>
    <t xml:space="preserve">INC000001716826</t>
  </si>
  <si>
    <t xml:space="preserve">Bankmate</t>
  </si>
  <si>
    <t xml:space="preserve">The Bankmates application is working in a degraded state.</t>
  </si>
  <si>
    <t xml:space="preserve">The entering payments in Bankmate via Swift software are not received. In addition, the incoming MT103 payments were unavailable in Bankmate. Due to this incident, delays are present for the payment of recipients as well as those toward other institutions.</t>
  </si>
  <si>
    <t xml:space="preserve">The triggering event is related to a temporary outage of the STP engine of Firco in Bankmate. The root cause is under investigation by the Swift nd Bankmate support teams and will be confirmed through the problem management process.</t>
  </si>
  <si>
    <t xml:space="preserve">Following the 4th restart of the Firco STP engine by the Expertus provider, the incoming payments are working again.</t>
  </si>
  <si>
    <t xml:space="preserve">00:40:00</t>
  </si>
  <si>
    <t xml:space="preserve">INC000001685323</t>
  </si>
  <si>
    <t xml:space="preserve">Slowness of network is impacting the 1155 Metcalfe. Due to this issue, the traders are unable to access their PnL to see their profit and loss. In addition, the slowness are delaying their access to amazon files.</t>
  </si>
  <si>
    <t xml:space="preserve">The triggering event is related to the limit of the Viger internet router. The root cause is under investigation by the Telecom data support team and will be confirmed through the problem management process.</t>
  </si>
  <si>
    <t xml:space="preserve">A partial failover of the VPN traffic to Drummondville was done by Cyber Security-GSSO</t>
  </si>
  <si>
    <t xml:space="preserve">03:30:00</t>
  </si>
  <si>
    <t xml:space="preserve">INC000001724423</t>
  </si>
  <si>
    <t xml:space="preserve">Filenet</t>
  </si>
  <si>
    <t xml:space="preserve">The Filenet shared application is working in a degraded state.</t>
  </si>
  <si>
    <t xml:space="preserve">Employees and internal and external clients of National Bank are not able to scan, view and download documents stored in Filenet intermittently.</t>
  </si>
  <si>
    <t xml:space="preserve">Deadlocks JVM were present on the WAS_FILENET_CE of the AXPAPP8CE02 server._x005F_x000D_
_x005F_x000D_
The deadlocks of the LCAP schema in the POECCMA DB that contains a "stored procedure" (PRC_REFERSH_OSCAR_RESULT) that cause slownesses.</t>
  </si>
  <si>
    <t xml:space="preserve">Remove the privileges of the "Stored Procedure" from LCAP._x005F_x000D_
Implement a scheduler that will roll PRC_REFERSH_OSCAR_RESULT automatically overnight._x005F_x000D_
Proceed to change CRQ000000086040 on November 28, 2019 at 11:00 PM.</t>
  </si>
  <si>
    <t xml:space="preserve">INC000001734423</t>
  </si>
  <si>
    <t xml:space="preserve">Application partagée (AEM)</t>
  </si>
  <si>
    <t xml:space="preserve">The (AEM) shared application  is unavailable.</t>
  </si>
  <si>
    <t xml:space="preserve">National Bank clients are unable to access the following websites: 
 - All PCIS ORION websites (including all https://myportfolioplus.ca, FBN, GP1859, Hollis, site); 
- www.bnc.ca ; 
- www.bncd.ca; 
- www.assurances-bnc.ca ; 
- www.bninvestissements.ca ; 
- www.gestionprivee1859.ca ; 
The following applications runs in degraded state: 
- IBSC / IBSCv2 (Services: Opening of Individual Accounts - ROA, Interac-P Transfer and Credit Card Instant Approval - CCIA)
- SAP (Services: Credit Card Instant Approval - CCIA and Online Mortgage Pre-Authorization - E-Mortgage); 
- PCIS (Services: PCIS Digital Document Center, User Management, Market Orders and Brokerage Wealth Management, PCIS Money Market Transactions, PCIS Investment Portfolio Management, PCIS Market Information and Analysis); </t>
  </si>
  <si>
    <t xml:space="preserve">The triggering event is related to an issue on the Publisher. The root cause is under investigation by the AEM support team and will be confirmed through the problem management process.</t>
  </si>
  <si>
    <t xml:space="preserve">The AEM support restarted the Publisher servers LRPAPWCPUB01 and LRPAPWCPUB02</t>
  </si>
  <si>
    <t xml:space="preserve">00:10:00</t>
  </si>
  <si>
    <t xml:space="preserve">INC000001738425</t>
  </si>
  <si>
    <t xml:space="preserve">Web Panagon</t>
  </si>
  <si>
    <t xml:space="preserve">The Web Panagon application is working in a degraded state.</t>
  </si>
  <si>
    <t xml:space="preserve">Corrnet customers and NBF branch users (National Bank Financial) are unable to _x005F_x000D_
open to access reports from December 4th (e.g. compliance reports, _x005F_x000D_
transaction confirmations, commission reports, customer account statements, _x005F_x000D_
conciliation reports, etc.) Due to this incident, approximately 5000 users in _x005F_x000D_
more than 30 sectors and branches are unable to perform their assigned tasks _x005F_x000D_
that require the access to the reports in question.Please note that reports from any other days are available.</t>
  </si>
  <si>
    <t xml:space="preserve">The triggering event is related to the file transfer between MFT and CMOD. The root cause is under investigation by the ECCM support team and will be confirmed through the problem management process.</t>
  </si>
  <si>
    <t xml:space="preserve">MFT support put back the missing files in the correct MFT folder to allow for the automated processing to re-inject the files in CMOD, in turn making them availale in Web Panagon.</t>
  </si>
  <si>
    <t xml:space="preserve">07:22:00</t>
  </si>
  <si>
    <t xml:space="preserve">INC000001760379</t>
  </si>
  <si>
    <t xml:space="preserve">FISERV- NBOC</t>
  </si>
  <si>
    <t xml:space="preserve">The FISERV - NBOC application is working in a degraded state.</t>
  </si>
  <si>
    <t xml:space="preserve">Customers have access to Fiserv but are unable to see the details of certain transactions (payments made by check, weekly transaction reports, etc.) _x005F_x000D_
_x005F_x000D_
Furthermore, some internal agents that receive calls for these issues may also experience the same problem.</t>
  </si>
  <si>
    <t xml:space="preserve">The triggering event is related to a change in a link within the FISERV vendor's infrastructure. The root cause is under investigation by the FISERV support team and will be confirmed through the problem management process.</t>
  </si>
  <si>
    <t xml:space="preserve">The FISERV vendor restored the old link to re-establish the connection between "Business Online" and "Web Director".</t>
  </si>
  <si>
    <t xml:space="preserve">01:27:00</t>
  </si>
  <si>
    <t xml:space="preserve">INC000001763479</t>
  </si>
  <si>
    <t xml:space="preserve">The shared application (Murex 3.1) is working in a degraded state.</t>
  </si>
  <si>
    <t xml:space="preserve">Trades imported via the interface or the blotters are not imported in Murex 3.1. However, trades booked manually are processed normally.</t>
  </si>
  <si>
    <t xml:space="preserve">The triggering event is related to an application issue in Murex 3.1 The root cause is under investigation by the Murex support team and will be confirmed through the problem management process.</t>
  </si>
  <si>
    <t xml:space="preserve">The Murex support restarted the Murex 3.1 application.</t>
  </si>
  <si>
    <t xml:space="preserve">INC000001776716</t>
  </si>
  <si>
    <t xml:space="preserve">The application IBM Content Navigator (ICN) is unavailable.</t>
  </si>
  <si>
    <t xml:space="preserve">The applications using the ICN are working in a degraded state:_x005F_x000D_
Atlas / AVBN_x005F_x000D_
 BFC - Bancaires aux Conseillers_x005F_x000D_
 BN Partenariat_x005F_x000D_
 FileNet OI_x005F_x000D_
 Transfert de Comptes_x005F_x000D_
 GDI Attachment_x005F_x000D_
 GDOE_x005F_x000D_
 ICN AIM FileNet_x005F_x000D_
 ICN AEM Forms_x005F_x000D_
 ICN OPS Report_x005F_x000D_
 ICN Rapport Paiement_x005F_x000D_
 IER Voute Documentaire OE_x005F_x000D_
 Oscar_x005F_x000D_
 Sch&amp;eacute;mas comptables_x005F_x000D_
 Servicing APE_x005F_x000D_
 T80 Report Manager</t>
  </si>
  <si>
    <t xml:space="preserve">The triggering event is related to plugins issues related to full logs. The root cause is under investigation by the IBM Unix support team and will be confirmed through the problem management process.</t>
  </si>
  <si>
    <t xml:space="preserve">IBM Unix emptied the logs which were full and IBM Webadmin restarted the ICN plugins.</t>
  </si>
  <si>
    <t xml:space="preserve">03:25:00</t>
  </si>
  <si>
    <t xml:space="preserve">INC000001777979</t>
  </si>
  <si>
    <t xml:space="preserve">Infrastructure partagée (Telus Mobilité)</t>
  </si>
  <si>
    <t xml:space="preserve">The shared infrastructure (Telus Mobility) is unavailable.</t>
  </si>
  <si>
    <t xml:space="preserve">All users of the National Bank have lost their service on their Telus mobile devices. Due to this issue, technical teams are unable to receive everbridge alert as well as use their support numbers. In addition, employees cannot make or receive calls on their mobile devices.</t>
  </si>
  <si>
    <t xml:space="preserve">The triggering event is related to an issue at the Telus provider. The root cause is under investigation by the Telecom voice support team and will be confirmed through the problem management process.</t>
  </si>
  <si>
    <t xml:space="preserve">The Telus provider re-activated all the Telus devices at the Bank.Any users still impacted will need to restart their devices and configure their mailboxes.</t>
  </si>
  <si>
    <t xml:space="preserve">05:02:00</t>
  </si>
  <si>
    <t xml:space="preserve">INC000001778873</t>
  </si>
  <si>
    <t xml:space="preserve">This incident is a reocurrence of the problem PBI22007 (The Shared Infrastructure (Network) at Hong Kong is unavailable.) and the root cause remains under investigation by the technical teams.</t>
  </si>
  <si>
    <t xml:space="preserve">00:45:00</t>
  </si>
  <si>
    <t xml:space="preserve">INC000001784660</t>
  </si>
  <si>
    <t xml:space="preserve">The Control-M (Batch Scheduler for Distributed Platforms, Central and AS400) application is unavailable. Due to this incident, several applications will have a delay in their file processing, such as: _x005F_x000D_
_x005F_x000D_
 Datastage _x005F_x000D_
 Data Warehouse _x005F_x000D_
 Murex _x005F_x000D_
 AS400 _x005F_x000D_
 Global One _x005F_x000D_
 SmartCo _x005F_x000D_
 Accurate _x005F_x000D_
 Market Risk _x005F_x000D_
Secured ZoneTimeSquareObject Charlie</t>
  </si>
  <si>
    <t xml:space="preserve">A high volume of DNS queries caused the wspmgctrlm01 server to crash.</t>
  </si>
  <si>
    <t xml:space="preserve">The Wintel - ATA team has restarted the wspmgctrlm01 server.</t>
  </si>
  <si>
    <t xml:space="preserve">INC000001792818</t>
  </si>
  <si>
    <t xml:space="preserve">AS/400 (MIDAS EOD)</t>
  </si>
  <si>
    <t xml:space="preserve">The AS/400 (MIDAS EOD) application is working in a degraded state.</t>
  </si>
  <si>
    <t xml:space="preserve">The MIDAS application end of day process is delayed due to an issue with a batch file._x005F_x000D_
 The following applications and processes are impacted by the delay in the end of day MIDAS :_x005F_x000D_
KVAR_x005F_x000D_
_x005F_x000D_
DATAWAREHOUSE_x005F_x000D_
_x005F_x000D_
MUREX 3.1</t>
  </si>
  <si>
    <t xml:space="preserve">The triggering event is related to an issue with a batch file. The root cause is under investigation by the CCO and MIDAS support teams and will be confirmed through the problem management process.</t>
  </si>
  <si>
    <t xml:space="preserve">The CCO team corrected the issue with the Midas batch, and the Data Warehouse team processed the EOD data.</t>
  </si>
  <si>
    <t xml:space="preserve">06:36:00</t>
  </si>
  <si>
    <t xml:space="preserve">To do </t>
  </si>
  <si>
    <t xml:space="preserve">3rd party:</t>
  </si>
  <si>
    <t xml:space="preserve">Frank has to inform me about migration Risk: Delta realized so far (CIB Migration):model tout ou rien</t>
  </si>
  <si>
    <t xml:space="preserve">que fait le prestataire avec ma data ?  Comment il protégé sa confidentialite : </t>
  </si>
  <si>
    <t xml:space="preserve">Frank will work with me sur Risk Linked to Migration</t>
  </si>
  <si>
    <t xml:space="preserve">BL managers has to ensure that compliance team has access to shared Drives</t>
  </si>
  <si>
    <t xml:space="preserve">Renaud will contact  security Team and wintel to adress the pb of data leak entre personal &amp; private side </t>
  </si>
  <si>
    <t xml:space="preserve">mike to Contact Nadyne on private side sharepoint utilizations</t>
  </si>
  <si>
    <t xml:space="preserve">Frank to verifiy w/ Wintel on audits Trail archiving Duration </t>
  </si>
  <si>
    <t xml:space="preserve">risk: </t>
  </si>
  <si>
    <t xml:space="preserve">data ds le cloud: legalite &amp;&amp; securite ? </t>
  </si>
  <si>
    <t xml:space="preserve">legalite: DCM: frontiers hors Canada business ? Sharepoint: cloud ou ? </t>
  </si>
  <si>
    <t xml:space="preserve">Data integrity: </t>
  </si>
  <si>
    <t xml:space="preserve">peux t-on tracer les changements; signature de la donnee;</t>
  </si>
  <si>
    <t xml:space="preserve">solution: redondonce de la data; </t>
  </si>
  <si>
    <t xml:space="preserve">respect : </t>
  </si>
  <si>
    <t xml:space="preserve">SLA(basee plus sur la disponibilite), KPI</t>
  </si>
  <si>
    <t xml:space="preserve">detection: correction</t>
  </si>
  <si>
    <t xml:space="preserve">confidentialite: </t>
  </si>
  <si>
    <t xml:space="preserve">lie au droit d'acces -&gt; sol possible: chiffrement.</t>
  </si>
  <si>
    <t xml:space="preserve">ok pour ne pas la garder physiquement;risk acceptance</t>
  </si>
  <si>
    <t xml:space="preserve">Fia tech's: </t>
  </si>
  <si>
    <t xml:space="preserve">production docs</t>
  </si>
  <si>
    <t xml:space="preserve">contrat clients</t>
  </si>
  <si>
    <t xml:space="preserve">OCR</t>
  </si>
  <si>
    <t xml:space="preserve">Atlantis </t>
  </si>
  <si>
    <t xml:space="preserve">issue with: </t>
  </si>
  <si>
    <t xml:space="preserve">Hacking incident</t>
  </si>
  <si>
    <t xml:space="preserve">inside Data center provider's management network</t>
  </si>
  <si>
    <t xml:space="preserve">attack:</t>
  </si>
  <si>
    <t xml:space="preserve">ransomeware: </t>
  </si>
  <si>
    <t xml:space="preserve">production and DR servers</t>
  </si>
  <si>
    <t xml:space="preserve">Evidence: </t>
  </si>
  <si>
    <t xml:space="preserve">obtained by FIA Tech</t>
  </si>
  <si>
    <t xml:space="preserve">consultants and law enforcement</t>
  </si>
  <si>
    <t xml:space="preserve">attackers</t>
  </si>
  <si>
    <t xml:space="preserve">Prod</t>
  </si>
  <si>
    <t xml:space="preserve">did not access any data :</t>
  </si>
  <si>
    <t xml:space="preserve">confidential trade/ Customer data</t>
  </si>
  <si>
    <t xml:space="preserve">data extracts: </t>
  </si>
  <si>
    <t xml:space="preserve">No : log files/firewalls journals</t>
  </si>
  <si>
    <t xml:space="preserve">authenticity of backup:</t>
  </si>
  <si>
    <t xml:space="preserve">Friday snapshot</t>
  </si>
  <si>
    <t xml:space="preserve">service available: </t>
  </si>
  <si>
    <t xml:space="preserve">OCR: EOD EST Tuesday</t>
  </si>
  <si>
    <t xml:space="preserve">users: </t>
  </si>
  <si>
    <t xml:space="preserve">Louis cormier: 1 compte BNC: Legal</t>
  </si>
  <si>
    <t xml:space="preserve">Francois chalifour: 2 comptes (BNC + BNF) OPS</t>
  </si>
  <si>
    <t xml:space="preserve">Lola, Da silva: Equity (options)</t>
  </si>
  <si>
    <t xml:space="preserve">Southin, Sharron Ann:FICC (bond futures)</t>
  </si>
  <si>
    <t xml:space="preserve">Alex Chiasson: backup Lola(options)</t>
  </si>
  <si>
    <t xml:space="preserve">Cullum Sarah: ldn FICC VO</t>
  </si>
  <si>
    <t xml:space="preserve">3PRM: Sarine</t>
  </si>
  <si>
    <t xml:space="preserve">NPCs</t>
  </si>
  <si>
    <t xml:space="preserve">Regulateurs: </t>
  </si>
  <si>
    <t xml:space="preserve">BC/DR/plan Test/Due diligence Cyber/Data</t>
  </si>
  <si>
    <t xml:space="preserve">Accompagnement projets: Risk TI a remonter; 
amelioration requis pour les FMs;</t>
  </si>
  <si>
    <t xml:space="preserve">Conformite: Nizar </t>
  </si>
  <si>
    <t xml:space="preserve">oblige</t>
  </si>
  <si>
    <t xml:space="preserve">BC bank: yannoulakis</t>
  </si>
  <si>
    <t xml:space="preserve">Exercise auquels la banque participe</t>
  </si>
  <si>
    <t xml:space="preserve">IIROC</t>
  </si>
  <si>
    <t xml:space="preserve">daniel alvarez: </t>
  </si>
  <si>
    <t xml:space="preserve">questionnaire MF; Alizeta</t>
  </si>
  <si>
    <t xml:space="preserve">frequency</t>
  </si>
  <si>
    <t xml:space="preserve">Exercise</t>
  </si>
  <si>
    <t xml:space="preserve">type of Exercise</t>
  </si>
  <si>
    <t xml:space="preserve">Geography</t>
  </si>
  <si>
    <t xml:space="preserve">mondatoty (Yes / Not ) </t>
  </si>
  <si>
    <t xml:space="preserve">2 ans: 2019</t>
  </si>
  <si>
    <t xml:space="preserve">BC /DR</t>
  </si>
  <si>
    <t xml:space="preserve">Canada</t>
  </si>
  <si>
    <t xml:space="preserve">Yes</t>
  </si>
  <si>
    <t xml:space="preserve">2 ans: nov 2019</t>
  </si>
  <si>
    <t xml:space="preserve">Sifma (quantum dawn 5)</t>
  </si>
  <si>
    <t xml:space="preserve">cybersecurity</t>
  </si>
  <si>
    <t xml:space="preserve">SIFMA is the voice of the 
U.S. securities industry: worldwide(Asia, UK, US)</t>
  </si>
  <si>
    <t xml:space="preserve">NO</t>
  </si>
  <si>
    <t xml:space="preserve"> on demand</t>
  </si>
  <si>
    <t xml:space="preserve">CBEST</t>
  </si>
  <si>
    <t xml:space="preserve">cyber Resilience: Like Pentests</t>
  </si>
  <si>
    <t xml:space="preserve">UK  BoE, regulators approved (pay partners)</t>
  </si>
  <si>
    <t xml:space="preserve">2 ans, 2018</t>
  </si>
  <si>
    <t xml:space="preserve">SIMEX</t>
  </si>
  <si>
    <t xml:space="preserve">UK BoE: PRA &amp; FCA &amp; HMT</t>
  </si>
  <si>
    <t xml:space="preserve">rien</t>
  </si>
  <si>
    <t xml:space="preserve">xxxxx </t>
  </si>
  <si>
    <t xml:space="preserve">nothing</t>
  </si>
  <si>
    <t xml:space="preserve">Irlande</t>
  </si>
  <si>
    <t xml:space="preserve">WISE: Whole Industry Simulation Exercise</t>
  </si>
  <si>
    <t xml:space="preserve">business continuity (cyber flavor) TableTop: 
assess that senior manager ready to respond to major incidents in terms of decision </t>
  </si>
  <si>
    <t xml:space="preserve">Honk Kong (HKMA:HK monetary Authority &amp; 
SFC: Securities &amp; Futures Commision)</t>
  </si>
  <si>
    <t xml:space="preserve">NO (should participate: bks with ops in HK)</t>
  </si>
  <si>
    <t xml:space="preserve">xxxx</t>
  </si>
  <si>
    <t xml:space="preserve">EUR/Not yet </t>
  </si>
  <si>
    <t xml:space="preserve">to be considered like UK cyber resilience Test</t>
  </si>
  <si>
    <t xml:space="preserve">2 ans: 2018</t>
  </si>
  <si>
    <t xml:space="preserve">ECB “UNITAS”</t>
  </si>
  <si>
    <t xml:space="preserve">ECB</t>
  </si>
  <si>
    <t xml:space="preserve">payments banque centrales avec system payments</t>
  </si>
  <si>
    <t xml:space="preserve">CBEST tests are carried out by accredited penetration 
test companies with an attack team that mimics the 
actions of skilled cyber attackers. 
Their aim is to penetrate defences and 
make their way, silently and stealthily, 
towards critical assets to a position where they 
could steal, corrupt or destroy their target.</t>
  </si>
  <si>
    <t xml:space="preserve">Regulators/MFI Time line: </t>
  </si>
  <si>
    <t xml:space="preserve">Date</t>
  </si>
  <si>
    <t xml:space="preserve">DTCC</t>
  </si>
  <si>
    <t xml:space="preserve">Supply Chain: </t>
  </si>
  <si>
    <t xml:space="preserve">tactical plan: </t>
  </si>
  <si>
    <t xml:space="preserve">Changement Regulateurs FM Scope: </t>
  </si>
  <si>
    <t xml:space="preserve">Business Continuity, Disaster Recovery /Cyber Security/ Data Governance</t>
  </si>
  <si>
    <t xml:space="preserve">LDN;IRE;Hk;NY;IIROC</t>
  </si>
  <si>
    <t xml:space="preserve">Exercices Cyber/BC: </t>
  </si>
  <si>
    <t xml:space="preserve">Fournisseurs Externes Critiques: FMI </t>
  </si>
  <si>
    <t xml:space="preserve">regulateurs: industry-wide exercise; </t>
  </si>
  <si>
    <t xml:space="preserve">Supporter les Tests BC/DR Ops </t>
  </si>
  <si>
    <t xml:space="preserve">Demandes Regulateurs: </t>
  </si>
  <si>
    <t xml:space="preserve">Questionnaire TI : avec Alizeta; </t>
  </si>
  <si>
    <t xml:space="preserve">Questionnaire regulateurs meme Ops (OCC): en support </t>
  </si>
  <si>
    <t xml:space="preserve">Questionnaire: conformite </t>
  </si>
  <si>
    <t xml:space="preserve">Odin laroque: contact Avocat sous maitre lavalee</t>
  </si>
  <si>
    <t xml:space="preserve">Peut aider a l'ecriture de Lettre;</t>
  </si>
  <si>
    <t xml:space="preserve">Demandes Clients: </t>
  </si>
  <si>
    <t xml:space="preserve">SIG : data/Cyber/BC </t>
  </si>
  <si>
    <t xml:space="preserve">3PRM: </t>
  </si>
  <si>
    <t xml:space="preserve">Support</t>
  </si>
  <si>
    <t xml:space="preserve">Equipe isabel NPC</t>
  </si>
  <si>
    <t xml:space="preserve">portrait Risk TI/Cyber/Business: rencontre lors de projets;</t>
  </si>
  <si>
    <t xml:space="preserve">Accompagner: FM-OpsRisk</t>
  </si>
  <si>
    <t xml:space="preserve">ORSA Business &amp; Plan de contingence; </t>
  </si>
  <si>
    <t xml:space="preserve">Etablir: ORSA TI </t>
  </si>
  <si>
    <t xml:space="preserve">GED: </t>
  </si>
  <si>
    <t xml:space="preserve">mes Clients; Processus Mapping; </t>
  </si>
  <si>
    <t xml:space="preserve">Audit: Profil de Risk </t>
  </si>
  <si>
    <t xml:space="preserve">commo: </t>
  </si>
  <si>
    <t xml:space="preserve">Jim Joyce: processus Mapping; scope applications; </t>
  </si>
  <si>
    <t xml:space="preserve">Reponses: </t>
  </si>
  <si>
    <t xml:space="preserve">Please describe the most important elements of your business contingency planning</t>
  </si>
  <si>
    <t xml:space="preserve">National Bank of Canada and its subsidiaries (“NBFG”) has a documented and formally approved Business Continuity Management program and policy (the “BCP”). 
The BCP requires that each sector of NBFG develop, document, test and, if appropriate, 
revise the continuity policy for that sector. The BCP requires this exercise of testing 
(and if appropriate revision) of a sector’s business continuity plan occur on a regular basis.</t>
  </si>
  <si>
    <t xml:space="preserve">What is the contingency plan in the event of a system outage, for example from a strom or other natural disaster? </t>
  </si>
  <si>
    <t xml:space="preserve">The bank is engaged annually on performing internal disaster recovery exercises as well as participating in externally mandated and run disaster recovery exercises with IIROC, 
TSX and other critical suppliers.
In addition to trading applications located in our primary data center, our trading desks use external multiple platforms 
(Bloomberg, Fidessa, ORC) that intend to reduce our operation risk in case of internal systems outage</t>
  </si>
  <si>
    <t xml:space="preserve">How are orders handled in the event of system outage. </t>
  </si>
  <si>
    <t xml:space="preserve">The trading activities are supported by 2 major centers, with each one capable of 
carrying on the activities of the other following a systems outage or other event which prevents the particular center from operating. 
 Our business continuity strategies are reviewed and tested annually.</t>
  </si>
  <si>
    <t xml:space="preserve">Questions 2019</t>
  </si>
  <si>
    <t xml:space="preserve">Legal, Regulatory and Business Contingencies, and Contingent Liabilities</t>
  </si>
  <si>
    <t xml:space="preserve">x Please describe the most important elements of your business contingency planning.</t>
  </si>
  <si>
    <t xml:space="preserve">x What is the contingency plan in the event of a system outage, for example from a storm or other natural disasters?</t>
  </si>
  <si>
    <t xml:space="preserve">CyberSecurity questions</t>
  </si>
  <si>
    <t xml:space="preserve">What is the company doing to mitigate cyber-attacks?</t>
  </si>
  <si>
    <t xml:space="preserve">How do you measure the exposure and report on cyber-risk?</t>
  </si>
  <si>
    <t xml:space="preserve">Do you have a robust, well-documented program to monitor cyber-risks?</t>
  </si>
  <si>
    <t xml:space="preserve">How many times was the business the target of a high-level attack during the past year, and how far did it reach in the system?</t>
  </si>
  <si>
    <t xml:space="preserve">What areas does the Firm feel are still vulnerable to attack?</t>
  </si>
  <si>
    <t xml:space="preserve">Does the Firm have any third-party vendor oversight? If so, what kind and how much?</t>
  </si>
  <si>
    <t xml:space="preserve">What is the Firm's readiness with respect to the National Institute of Standards and Technology (NIST) framework?</t>
  </si>
  <si>
    <t xml:space="preserve">How does the Firm ward off phishing and diminish the likelihood of having data compromised from an internal breach?</t>
  </si>
  <si>
    <t xml:space="preserve">What is the internal phishing success rate?</t>
  </si>
  <si>
    <t xml:space="preserve">How long has it typically taken to detect a cyber-attack?</t>
  </si>
  <si>
    <t xml:space="preserve">What containment procedures are in place if the Firm is breached?</t>
  </si>
  <si>
    <t xml:space="preserve">Are emergency scenarios test-run?</t>
  </si>
  <si>
    <t xml:space="preserve">What software or other techniques are used to monitor attacks?</t>
  </si>
  <si>
    <t xml:space="preserve">What kind of expertise about cyber-attacks exists on the board of directors?</t>
  </si>
  <si>
    <t xml:space="preserve">How much does the Firm spend on cybersecurity, and what resources does it devote? What is the total budget for such services this year versus last?</t>
  </si>
  <si>
    <t xml:space="preserve">What are the Firm's capabilities versus peers, and how are they assessed? Is there information shared with peers?</t>
  </si>
  <si>
    <t xml:space="preserve">Does the Firm have any insurance to compensate for a cyber-attack?</t>
  </si>
  <si>
    <t xml:space="preserve">KRI</t>
  </si>
  <si>
    <t xml:space="preserve">comment</t>
  </si>
  <si>
    <t xml:space="preserve">1- Volume of P1 incidents where root cause is not found</t>
  </si>
  <si>
    <t xml:space="preserve">“I need to know you’re addressing the things that keep me up at night” is a statement from the </t>
  </si>
  <si>
    <t xml:space="preserve">2- Volume of P1 incidents where all activities have not been completed </t>
  </si>
  <si>
    <t xml:space="preserve">Head of IT Service Delivery that we keep reminding ourselves of.</t>
  </si>
  <si>
    <t xml:space="preserve">3- the volume of P1 incidents with a material risk of recurrence</t>
  </si>
  <si>
    <t xml:space="preserve">4- the volume of critical problem tasks outstanding</t>
  </si>
  <si>
    <t xml:space="preserve">KPI</t>
  </si>
  <si>
    <t xml:space="preserve">1- Number of major pbs</t>
  </si>
  <si>
    <t xml:space="preserve">2-Number of repeated pbs: Occurence; </t>
  </si>
  <si>
    <t xml:space="preserve">3- MTBF: sum(duree de fct - duree de panee)/ nbr de pannes</t>
  </si>
  <si>
    <t xml:space="preserve">4-SLA compliance Ratio:</t>
  </si>
  <si>
    <t xml:space="preserve">% incidents solved within SLA time:Total number of incidents resolved within 
SLA time divided by the total number of incidents</t>
  </si>
  <si>
    <t xml:space="preserve">Taux de respect de SLA</t>
  </si>
  <si>
    <t xml:space="preserve">5-MTTR=MDT;avg(debutpanne - resolution timestamp)</t>
  </si>
  <si>
    <t xml:space="preserve">6-Incident response Time: duration</t>
  </si>
  <si>
    <t xml:space="preserve">Equity Swap: </t>
  </si>
  <si>
    <t xml:space="preserve">SBL</t>
  </si>
  <si>
    <t xml:space="preserve">G1</t>
  </si>
  <si>
    <t xml:space="preserve">Max Arrow</t>
  </si>
  <si>
    <t xml:space="preserve">max lite</t>
  </si>
  <si>
    <t xml:space="preserve">Office Pro</t>
  </si>
  <si>
    <t xml:space="preserve">Office pro</t>
  </si>
  <si>
    <t xml:space="preserve">Sungard Adaptiv</t>
  </si>
  <si>
    <t xml:space="preserve">SmartCo SFDH</t>
  </si>
  <si>
    <t xml:space="preserve">Swift</t>
  </si>
  <si>
    <t xml:space="preserve">BONY Triparty</t>
  </si>
</sst>
</file>

<file path=xl/styles.xml><?xml version="1.0" encoding="utf-8"?>
<styleSheet xmlns="http://schemas.openxmlformats.org/spreadsheetml/2006/main">
  <numFmts count="4">
    <numFmt numFmtId="164" formatCode="General"/>
    <numFmt numFmtId="165" formatCode="@"/>
    <numFmt numFmtId="166" formatCode="DD/MM/YYYY\ H:MM"/>
    <numFmt numFmtId="167" formatCode="DD/MMM"/>
  </numFmts>
  <fonts count="45">
    <font>
      <sz val="11"/>
      <color rgb="FF000000"/>
      <name val="Calibri"/>
      <family val="2"/>
      <charset val="1"/>
    </font>
    <font>
      <sz val="10"/>
      <name val="Arial"/>
      <family val="0"/>
    </font>
    <font>
      <sz val="10"/>
      <name val="Arial"/>
      <family val="0"/>
    </font>
    <font>
      <sz val="10"/>
      <name val="Arial"/>
      <family val="0"/>
    </font>
    <font>
      <u val="single"/>
      <sz val="11"/>
      <color rgb="FF0563C1"/>
      <name val="Calibri"/>
      <family val="2"/>
      <charset val="1"/>
    </font>
    <font>
      <sz val="11"/>
      <color rgb="FFED7D31"/>
      <name val="Calibri"/>
      <family val="2"/>
      <charset val="1"/>
    </font>
    <font>
      <sz val="11"/>
      <color rgb="FFFFC000"/>
      <name val="Calibri"/>
      <family val="2"/>
      <charset val="1"/>
    </font>
    <font>
      <sz val="11"/>
      <color rgb="FFA9D18E"/>
      <name val="Calibri"/>
      <family val="2"/>
      <charset val="1"/>
    </font>
    <font>
      <b val="true"/>
      <sz val="16"/>
      <color rgb="FF000000"/>
      <name val="Calibri"/>
      <family val="2"/>
      <charset val="1"/>
    </font>
    <font>
      <sz val="14"/>
      <color rgb="FF000000"/>
      <name val="Calibri"/>
      <family val="2"/>
      <charset val="1"/>
    </font>
    <font>
      <b val="true"/>
      <sz val="11"/>
      <color rgb="FF000000"/>
      <name val="Calibri"/>
      <family val="2"/>
      <charset val="1"/>
    </font>
    <font>
      <sz val="14"/>
      <color rgb="FFFFFFFF"/>
      <name val="Calibri"/>
      <family val="2"/>
      <charset val="1"/>
    </font>
    <font>
      <b val="true"/>
      <sz val="12"/>
      <color rgb="FFFFFFFF"/>
      <name val="Calibri"/>
      <family val="2"/>
      <charset val="1"/>
    </font>
    <font>
      <b val="true"/>
      <sz val="11"/>
      <color rgb="FFFFFFFF"/>
      <name val="Calibri"/>
      <family val="2"/>
      <charset val="1"/>
    </font>
    <font>
      <b val="true"/>
      <sz val="10"/>
      <color rgb="FFFFFFFF"/>
      <name val="Arial"/>
      <family val="2"/>
      <charset val="1"/>
    </font>
    <font>
      <b val="true"/>
      <sz val="14"/>
      <color rgb="FFFF0000"/>
      <name val="Calibri"/>
      <family val="2"/>
      <charset val="1"/>
    </font>
    <font>
      <u val="single"/>
      <sz val="10"/>
      <color rgb="FF0000FF"/>
      <name val="Arial"/>
      <family val="2"/>
      <charset val="1"/>
    </font>
    <font>
      <b val="true"/>
      <sz val="11"/>
      <color rgb="FFA9D18E"/>
      <name val="Calibri"/>
      <family val="2"/>
      <charset val="1"/>
    </font>
    <font>
      <sz val="11"/>
      <name val="Calibri"/>
      <family val="2"/>
      <charset val="1"/>
    </font>
    <font>
      <b val="true"/>
      <sz val="11"/>
      <color rgb="FFFF0000"/>
      <name val="Calibri"/>
      <family val="2"/>
      <charset val="1"/>
    </font>
    <font>
      <b val="true"/>
      <sz val="11"/>
      <color rgb="FFFFC000"/>
      <name val="Calibri"/>
      <family val="2"/>
      <charset val="1"/>
    </font>
    <font>
      <b val="true"/>
      <sz val="11"/>
      <color rgb="FF0D0D0D"/>
      <name val="Calibri"/>
      <family val="2"/>
      <charset val="1"/>
    </font>
    <font>
      <sz val="9"/>
      <color rgb="FFFFFFFF"/>
      <name val="Calibri"/>
      <family val="2"/>
      <charset val="1"/>
    </font>
    <font>
      <sz val="9"/>
      <color rgb="FF000000"/>
      <name val="Calibri"/>
      <family val="2"/>
      <charset val="1"/>
    </font>
    <font>
      <b val="true"/>
      <i val="true"/>
      <sz val="11"/>
      <color rgb="FF000000"/>
      <name val="Calibri"/>
      <family val="2"/>
      <charset val="1"/>
    </font>
    <font>
      <sz val="11"/>
      <color rgb="FFFF0000"/>
      <name val="Calibri"/>
      <family val="2"/>
      <charset val="1"/>
    </font>
    <font>
      <b val="true"/>
      <sz val="11"/>
      <color rgb="FFC55A11"/>
      <name val="Calibri"/>
      <family val="2"/>
      <charset val="1"/>
    </font>
    <font>
      <sz val="10"/>
      <color rgb="FF000000"/>
      <name val="Arial"/>
      <family val="2"/>
      <charset val="1"/>
    </font>
    <font>
      <sz val="10"/>
      <color rgb="FF1F497D"/>
      <name val="Arial"/>
      <family val="2"/>
      <charset val="1"/>
    </font>
    <font>
      <b val="true"/>
      <sz val="10"/>
      <color rgb="FF000000"/>
      <name val="Arial"/>
      <family val="2"/>
      <charset val="1"/>
    </font>
    <font>
      <b val="true"/>
      <i val="true"/>
      <sz val="12"/>
      <color rgb="FF000000"/>
      <name val="Times New Roman"/>
      <family val="1"/>
      <charset val="1"/>
    </font>
    <font>
      <b val="true"/>
      <i val="true"/>
      <sz val="12"/>
      <color rgb="FF000000"/>
      <name val="Cambria"/>
      <family val="1"/>
      <charset val="1"/>
    </font>
    <font>
      <sz val="9"/>
      <color rgb="FF000000"/>
      <name val="Arial"/>
      <family val="2"/>
      <charset val="1"/>
    </font>
    <font>
      <sz val="12"/>
      <color rgb="FF000000"/>
      <name val="Times New Roman"/>
      <family val="1"/>
      <charset val="1"/>
    </font>
    <font>
      <b val="true"/>
      <sz val="11"/>
      <color rgb="FF375623"/>
      <name val="Calibri"/>
      <family val="2"/>
      <charset val="1"/>
    </font>
    <font>
      <b val="true"/>
      <sz val="11"/>
      <color rgb="FF385724"/>
      <name val="Calibri"/>
      <family val="2"/>
      <charset val="1"/>
    </font>
    <font>
      <b val="true"/>
      <sz val="11"/>
      <name val="Calibri"/>
      <family val="2"/>
      <charset val="1"/>
    </font>
    <font>
      <sz val="11"/>
      <color rgb="FFFFFFFF"/>
      <name val="Calibri"/>
      <family val="2"/>
      <charset val="1"/>
    </font>
    <font>
      <b val="true"/>
      <sz val="9"/>
      <color rgb="FF000000"/>
      <name val="Tahoma"/>
      <family val="2"/>
      <charset val="1"/>
    </font>
    <font>
      <sz val="9"/>
      <color rgb="FF000000"/>
      <name val="Tahoma"/>
      <family val="2"/>
      <charset val="1"/>
    </font>
    <font>
      <sz val="11"/>
      <color rgb="FF000000"/>
      <name val="Segoe UI"/>
      <family val="2"/>
      <charset val="1"/>
    </font>
    <font>
      <sz val="8"/>
      <color rgb="FF302825"/>
      <name val="Arial"/>
      <family val="2"/>
      <charset val="1"/>
    </font>
    <font>
      <sz val="8"/>
      <color rgb="FF1E1E1E"/>
      <name val="Trebuchet MS"/>
      <family val="2"/>
      <charset val="1"/>
    </font>
    <font>
      <i val="true"/>
      <sz val="11"/>
      <color rgb="FF4472C4"/>
      <name val="Calibri"/>
      <family val="2"/>
      <charset val="1"/>
    </font>
    <font>
      <b val="true"/>
      <sz val="11"/>
      <color rgb="FF0000FF"/>
      <name val="Calibri"/>
      <family val="2"/>
      <charset val="1"/>
    </font>
  </fonts>
  <fills count="36">
    <fill>
      <patternFill patternType="none"/>
    </fill>
    <fill>
      <patternFill patternType="gray125"/>
    </fill>
    <fill>
      <patternFill patternType="solid">
        <fgColor rgb="FF000000"/>
        <bgColor rgb="FF0D0D0D"/>
      </patternFill>
    </fill>
    <fill>
      <patternFill patternType="solid">
        <fgColor rgb="FF2F75B5"/>
        <bgColor rgb="FF4472C4"/>
      </patternFill>
    </fill>
    <fill>
      <patternFill patternType="solid">
        <fgColor rgb="FFC9C9C9"/>
        <bgColor rgb="FFD0CECE"/>
      </patternFill>
    </fill>
    <fill>
      <patternFill patternType="solid">
        <fgColor rgb="FF9BC2E6"/>
        <bgColor rgb="FFB4C6E7"/>
      </patternFill>
    </fill>
    <fill>
      <patternFill patternType="solid">
        <fgColor rgb="FF808080"/>
        <bgColor rgb="FFA6A6A6"/>
      </patternFill>
    </fill>
    <fill>
      <patternFill patternType="solid">
        <fgColor rgb="FFD9D9D9"/>
        <bgColor rgb="FFD0CECE"/>
      </patternFill>
    </fill>
    <fill>
      <patternFill patternType="solid">
        <fgColor rgb="FF92D050"/>
        <bgColor rgb="FFA9D18E"/>
      </patternFill>
    </fill>
    <fill>
      <patternFill patternType="solid">
        <fgColor rgb="FFFFFFFF"/>
        <bgColor rgb="FFF2F2F2"/>
      </patternFill>
    </fill>
    <fill>
      <patternFill patternType="solid">
        <fgColor rgb="FFD0CECE"/>
        <bgColor rgb="FFC9C9C9"/>
      </patternFill>
    </fill>
    <fill>
      <patternFill patternType="solid">
        <fgColor rgb="FF4472C4"/>
        <bgColor rgb="FF2F75B5"/>
      </patternFill>
    </fill>
    <fill>
      <patternFill patternType="solid">
        <fgColor rgb="FFD9E2F3"/>
        <bgColor rgb="FFDEEAF6"/>
      </patternFill>
    </fill>
    <fill>
      <patternFill patternType="solid">
        <fgColor rgb="FFB4C6E7"/>
        <bgColor rgb="FFB4C7E7"/>
      </patternFill>
    </fill>
    <fill>
      <patternFill patternType="solid">
        <fgColor rgb="FFC45911"/>
        <bgColor rgb="FFC55A11"/>
      </patternFill>
    </fill>
    <fill>
      <patternFill patternType="solid">
        <fgColor rgb="FFF7CAAC"/>
        <bgColor rgb="FFF8CBAD"/>
      </patternFill>
    </fill>
    <fill>
      <patternFill patternType="solid">
        <fgColor rgb="FFF4B083"/>
        <bgColor rgb="FFF4B183"/>
      </patternFill>
    </fill>
    <fill>
      <patternFill patternType="solid">
        <fgColor rgb="FF404040"/>
        <bgColor rgb="FF3B3838"/>
      </patternFill>
    </fill>
    <fill>
      <patternFill patternType="solid">
        <fgColor rgb="FFF2F2F2"/>
        <bgColor rgb="FFDEEAF6"/>
      </patternFill>
    </fill>
    <fill>
      <patternFill patternType="solid">
        <fgColor rgb="FF8FAADC"/>
        <bgColor rgb="FF9BC2E6"/>
      </patternFill>
    </fill>
    <fill>
      <patternFill patternType="solid">
        <fgColor rgb="FFA6A6A6"/>
        <bgColor rgb="FFADB9CA"/>
      </patternFill>
    </fill>
    <fill>
      <patternFill patternType="solid">
        <fgColor rgb="FF3B3838"/>
        <bgColor rgb="FF404040"/>
      </patternFill>
    </fill>
    <fill>
      <patternFill patternType="solid">
        <fgColor rgb="FF5EC5C2"/>
        <bgColor rgb="FF8FAADC"/>
      </patternFill>
    </fill>
    <fill>
      <patternFill patternType="solid">
        <fgColor rgb="FFFFC000"/>
        <bgColor rgb="FFF4B183"/>
      </patternFill>
    </fill>
    <fill>
      <patternFill patternType="solid">
        <fgColor rgb="FF181717"/>
        <bgColor rgb="FF1E1E1E"/>
      </patternFill>
    </fill>
    <fill>
      <patternFill patternType="solid">
        <fgColor rgb="FFFFFF00"/>
        <bgColor rgb="FFFFC000"/>
      </patternFill>
    </fill>
    <fill>
      <patternFill patternType="solid">
        <fgColor rgb="FFFF0000"/>
        <bgColor rgb="FFC00000"/>
      </patternFill>
    </fill>
    <fill>
      <patternFill patternType="solid">
        <fgColor rgb="FFED7D31"/>
        <bgColor rgb="FFC55A11"/>
      </patternFill>
    </fill>
    <fill>
      <patternFill patternType="solid">
        <fgColor rgb="FF002060"/>
        <bgColor rgb="FF1E1E1E"/>
      </patternFill>
    </fill>
    <fill>
      <patternFill patternType="solid">
        <fgColor rgb="FF385724"/>
        <bgColor rgb="FF375623"/>
      </patternFill>
    </fill>
    <fill>
      <patternFill patternType="solid">
        <fgColor rgb="FF70AD47"/>
        <bgColor rgb="FF92D050"/>
      </patternFill>
    </fill>
    <fill>
      <patternFill patternType="solid">
        <fgColor rgb="FF00B050"/>
        <bgColor rgb="FF70AD47"/>
      </patternFill>
    </fill>
    <fill>
      <patternFill patternType="solid">
        <fgColor rgb="FFF4B183"/>
        <bgColor rgb="FFF4B083"/>
      </patternFill>
    </fill>
    <fill>
      <patternFill patternType="solid">
        <fgColor rgb="FFB4C7E7"/>
        <bgColor rgb="FFB4C6E7"/>
      </patternFill>
    </fill>
    <fill>
      <patternFill patternType="solid">
        <fgColor rgb="FFBDD6EE"/>
        <bgColor rgb="FFB4C7E7"/>
      </patternFill>
    </fill>
    <fill>
      <patternFill patternType="solid">
        <fgColor rgb="FFDEEAF6"/>
        <bgColor rgb="FFD9E2F3"/>
      </patternFill>
    </fill>
  </fills>
  <borders count="24">
    <border diagonalUp="false" diagonalDown="false">
      <left/>
      <right/>
      <top/>
      <bottom/>
      <diagonal/>
    </border>
    <border diagonalUp="false" diagonalDown="false">
      <left/>
      <right/>
      <top/>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right style="medium"/>
      <top/>
      <bottom/>
      <diagonal/>
    </border>
    <border diagonalUp="false" diagonalDown="false">
      <left/>
      <right style="medium"/>
      <top style="medium"/>
      <bottom/>
      <diagonal/>
    </border>
    <border diagonalUp="false" diagonalDown="false">
      <left style="medium">
        <color rgb="FFFFFFFF"/>
      </left>
      <right/>
      <top style="medium">
        <color rgb="FFFFFFFF"/>
      </top>
      <bottom/>
      <diagonal/>
    </border>
    <border diagonalUp="false" diagonalDown="false">
      <left/>
      <right/>
      <top style="medium">
        <color rgb="FFFFFFFF"/>
      </top>
      <bottom/>
      <diagonal/>
    </border>
    <border diagonalUp="false" diagonalDown="false">
      <left/>
      <right style="medium">
        <color rgb="FFFFFFFF"/>
      </right>
      <top style="medium">
        <color rgb="FFFFFFFF"/>
      </top>
      <bottom/>
      <diagonal/>
    </border>
    <border diagonalUp="false" diagonalDown="false">
      <left style="medium">
        <color rgb="FFFFFFFF"/>
      </left>
      <right style="medium">
        <color rgb="FFFFFFFF"/>
      </right>
      <top style="medium">
        <color rgb="FFFFFFFF"/>
      </top>
      <bottom style="medium">
        <color rgb="FFFFFFFF"/>
      </bottom>
      <diagonal/>
    </border>
    <border diagonalUp="false" diagonalDown="false">
      <left style="medium">
        <color rgb="FFFFFFFF"/>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right/>
      <top style="medium"/>
      <bottom/>
      <diagonal/>
    </border>
    <border diagonalUp="false" diagonalDown="false">
      <left/>
      <right style="thin"/>
      <top/>
      <bottom/>
      <diagonal/>
    </border>
    <border diagonalUp="false" diagonalDown="false">
      <left style="hair"/>
      <right style="hair"/>
      <top style="thin"/>
      <bottom style="thin"/>
      <diagonal/>
    </border>
    <border diagonalUp="false" diagonalDown="false">
      <left style="medium"/>
      <right style="medium"/>
      <top style="medium"/>
      <bottom/>
      <diagonal/>
    </border>
    <border diagonalUp="false" diagonalDown="false">
      <left/>
      <right/>
      <top style="medium"/>
      <bottom style="medium"/>
      <diagonal/>
    </border>
    <border diagonalUp="false" diagonalDown="false">
      <left/>
      <right/>
      <top style="thin">
        <color rgb="FFA9D18E"/>
      </top>
      <bottom style="thin">
        <color rgb="FFA9D18E"/>
      </bottom>
      <diagonal/>
    </border>
    <border diagonalUp="false" diagonalDown="false">
      <left style="medium">
        <color rgb="FFFFFFFF"/>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cellStyleXfs>
  <cellXfs count="23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tru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false" applyAlignment="tru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general" vertical="bottom" textRotation="0" wrapText="false" indent="0" shrinkToFit="false"/>
      <protection locked="true" hidden="false"/>
    </xf>
    <xf numFmtId="164" fontId="4" fillId="0" borderId="0" xfId="20" applyFont="true" applyBorder="true" applyAlignment="true" applyProtection="true">
      <alignment horizontal="general" vertical="center" textRotation="0" wrapText="false" indent="0" shrinkToFit="false"/>
      <protection locked="true" hidden="false"/>
    </xf>
    <xf numFmtId="164" fontId="8" fillId="0" borderId="0" xfId="0" applyFont="true" applyBorder="true" applyAlignment="true" applyProtection="false">
      <alignment horizontal="center" vertical="bottom" textRotation="0" wrapText="true" indent="0" shrinkToFit="false"/>
      <protection locked="true" hidden="false"/>
    </xf>
    <xf numFmtId="164" fontId="9"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true" applyAlignment="true" applyProtection="false">
      <alignment horizontal="general" vertical="center" textRotation="0" wrapText="true" indent="0" shrinkToFit="false"/>
      <protection locked="true" hidden="false"/>
    </xf>
    <xf numFmtId="164" fontId="9" fillId="4" borderId="0" xfId="0" applyFont="true" applyBorder="true" applyAlignment="true" applyProtection="false">
      <alignment horizontal="general" vertical="center" textRotation="0" wrapText="true" indent="0" shrinkToFit="false"/>
      <protection locked="true" hidden="false"/>
    </xf>
    <xf numFmtId="164" fontId="0" fillId="3" borderId="0" xfId="0" applyFont="true" applyBorder="false" applyAlignment="true" applyProtection="false">
      <alignment horizontal="general" vertical="center" textRotation="0" wrapText="false" indent="0" shrinkToFit="false"/>
      <protection locked="true" hidden="false"/>
    </xf>
    <xf numFmtId="164" fontId="9" fillId="5" borderId="1" xfId="0" applyFont="true" applyBorder="true" applyAlignment="true" applyProtection="false">
      <alignment horizontal="general" vertical="center" textRotation="0" wrapText="true" indent="0" shrinkToFit="false"/>
      <protection locked="true" hidden="false"/>
    </xf>
    <xf numFmtId="164" fontId="0" fillId="5"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true" applyProtection="false">
      <alignment horizontal="general" vertical="center" textRotation="0" wrapText="false" indent="0" shrinkToFit="false"/>
      <protection locked="true" hidden="false"/>
    </xf>
    <xf numFmtId="164" fontId="12" fillId="6" borderId="2" xfId="0" applyFont="true" applyBorder="true" applyAlignment="true" applyProtection="false">
      <alignment horizontal="general" vertical="center" textRotation="0" wrapText="true" indent="0" shrinkToFit="false"/>
      <protection locked="true" hidden="false"/>
    </xf>
    <xf numFmtId="164" fontId="12" fillId="6" borderId="3" xfId="0" applyFont="true" applyBorder="true" applyAlignment="true" applyProtection="false">
      <alignment horizontal="general" vertical="center" textRotation="0" wrapText="true" indent="0" shrinkToFit="false"/>
      <protection locked="true" hidden="false"/>
    </xf>
    <xf numFmtId="164" fontId="10" fillId="7" borderId="4" xfId="0" applyFont="true" applyBorder="true" applyAlignment="true" applyProtection="false">
      <alignment horizontal="center" vertical="center" textRotation="0" wrapText="true" indent="0" shrinkToFit="false"/>
      <protection locked="true" hidden="false"/>
    </xf>
    <xf numFmtId="164" fontId="10" fillId="7" borderId="3" xfId="0" applyFont="true" applyBorder="true" applyAlignment="true" applyProtection="false">
      <alignment horizontal="center" vertical="center" textRotation="0" wrapText="true" indent="0" shrinkToFit="false"/>
      <protection locked="true" hidden="false"/>
    </xf>
    <xf numFmtId="164" fontId="10" fillId="7" borderId="3" xfId="0" applyFont="true" applyBorder="true" applyAlignment="true" applyProtection="false">
      <alignment horizontal="general" vertical="center" textRotation="0" wrapText="true" indent="0" shrinkToFit="false"/>
      <protection locked="true" hidden="false"/>
    </xf>
    <xf numFmtId="164" fontId="0" fillId="5" borderId="5" xfId="0" applyFont="true" applyBorder="true" applyAlignment="true" applyProtection="false">
      <alignment horizontal="general" vertical="center" textRotation="0" wrapText="false" indent="0" shrinkToFit="false"/>
      <protection locked="true" hidden="false"/>
    </xf>
    <xf numFmtId="164" fontId="0" fillId="4" borderId="5" xfId="0" applyFont="true" applyBorder="true" applyAlignment="true" applyProtection="false">
      <alignment horizontal="general" vertical="center" textRotation="0" wrapText="false" indent="0" shrinkToFit="false"/>
      <protection locked="true" hidden="false"/>
    </xf>
    <xf numFmtId="164" fontId="0" fillId="5" borderId="3" xfId="0" applyFont="true" applyBorder="true" applyAlignment="true" applyProtection="false">
      <alignment horizontal="general" vertical="center" textRotation="0" wrapText="false" indent="0" shrinkToFit="false"/>
      <protection locked="true" hidden="false"/>
    </xf>
    <xf numFmtId="164" fontId="0" fillId="4" borderId="3" xfId="0" applyFont="true" applyBorder="true" applyAlignment="true" applyProtection="false">
      <alignment horizontal="general" vertical="center" textRotation="0" wrapText="false" indent="0" shrinkToFit="false"/>
      <protection locked="true" hidden="false"/>
    </xf>
    <xf numFmtId="164" fontId="0" fillId="2" borderId="2" xfId="0" applyFont="true" applyBorder="true" applyAlignment="true" applyProtection="false">
      <alignment horizontal="center" vertical="center" textRotation="0" wrapText="true" indent="0" shrinkToFit="false"/>
      <protection locked="true" hidden="false"/>
    </xf>
    <xf numFmtId="164" fontId="0" fillId="2" borderId="3" xfId="0" applyFont="true" applyBorder="true" applyAlignment="true" applyProtection="false">
      <alignment horizontal="center" vertical="center" textRotation="0" wrapText="true" indent="0" shrinkToFit="false"/>
      <protection locked="true" hidden="false"/>
    </xf>
    <xf numFmtId="164" fontId="0" fillId="2" borderId="3" xfId="0" applyFont="true" applyBorder="true" applyAlignment="true" applyProtection="false">
      <alignment horizontal="general" vertical="center" textRotation="0" wrapText="true" indent="0" shrinkToFit="false"/>
      <protection locked="true" hidden="false"/>
    </xf>
    <xf numFmtId="164" fontId="13" fillId="2" borderId="3" xfId="0" applyFont="true" applyBorder="true" applyAlignment="true" applyProtection="false">
      <alignment horizontal="center" vertical="center" textRotation="0" wrapText="true" indent="0" shrinkToFit="false"/>
      <protection locked="true" hidden="false"/>
    </xf>
    <xf numFmtId="164" fontId="13" fillId="2" borderId="3" xfId="0" applyFont="true" applyBorder="true" applyAlignment="true" applyProtection="false">
      <alignment horizontal="general" vertical="center" textRotation="0" wrapText="true" indent="0" shrinkToFit="false"/>
      <protection locked="true" hidden="false"/>
    </xf>
    <xf numFmtId="164" fontId="0" fillId="2" borderId="3" xfId="0" applyFont="true" applyBorder="true" applyAlignment="true" applyProtection="false">
      <alignment horizontal="general" vertical="center" textRotation="0" wrapText="false" indent="0" shrinkToFit="false"/>
      <protection locked="true" hidden="false"/>
    </xf>
    <xf numFmtId="164" fontId="0" fillId="8" borderId="3" xfId="0" applyFont="true" applyBorder="true" applyAlignment="true" applyProtection="false">
      <alignment horizontal="general" vertical="center" textRotation="0" wrapText="false" indent="0" shrinkToFit="false"/>
      <protection locked="true" hidden="false"/>
    </xf>
    <xf numFmtId="164" fontId="10" fillId="7" borderId="4" xfId="0" applyFont="true" applyBorder="true" applyAlignment="true" applyProtection="false">
      <alignment horizontal="general" vertical="center" textRotation="0" wrapText="true" indent="0" shrinkToFit="false"/>
      <protection locked="true" hidden="false"/>
    </xf>
    <xf numFmtId="164" fontId="0" fillId="3" borderId="3" xfId="0" applyFont="true" applyBorder="true" applyAlignment="true" applyProtection="false">
      <alignment horizontal="general" vertical="center" textRotation="0" wrapText="false" indent="0" shrinkToFit="false"/>
      <protection locked="true" hidden="false"/>
    </xf>
    <xf numFmtId="164" fontId="0" fillId="5" borderId="3" xfId="0" applyFont="false" applyBorder="true" applyAlignment="false" applyProtection="false">
      <alignment horizontal="general" vertical="bottom" textRotation="0" wrapText="false" indent="0" shrinkToFit="false"/>
      <protection locked="true" hidden="false"/>
    </xf>
    <xf numFmtId="164" fontId="10" fillId="9" borderId="4" xfId="0" applyFont="true" applyBorder="true" applyAlignment="true" applyProtection="false">
      <alignment horizontal="center" vertical="center" textRotation="0" wrapText="true" indent="0" shrinkToFit="false"/>
      <protection locked="true" hidden="false"/>
    </xf>
    <xf numFmtId="164" fontId="10" fillId="9" borderId="6" xfId="0" applyFont="true" applyBorder="true" applyAlignment="true" applyProtection="false">
      <alignment horizontal="center" vertical="center" textRotation="0" wrapText="true" indent="0" shrinkToFit="false"/>
      <protection locked="true" hidden="false"/>
    </xf>
    <xf numFmtId="164" fontId="10" fillId="9" borderId="3" xfId="0" applyFont="true" applyBorder="true" applyAlignment="true" applyProtection="false">
      <alignment horizontal="center" vertical="center" textRotation="0" wrapText="true" indent="0" shrinkToFit="false"/>
      <protection locked="true" hidden="false"/>
    </xf>
    <xf numFmtId="164" fontId="10" fillId="9" borderId="3" xfId="0" applyFont="true" applyBorder="true" applyAlignment="true" applyProtection="false">
      <alignment horizontal="general" vertical="center" textRotation="0" wrapText="true" indent="0" shrinkToFit="false"/>
      <protection locked="true" hidden="false"/>
    </xf>
    <xf numFmtId="164" fontId="0" fillId="4" borderId="3" xfId="0" applyFont="false" applyBorder="true" applyAlignment="false" applyProtection="false">
      <alignment horizontal="general" vertical="bottom" textRotation="0" wrapText="false" indent="0" shrinkToFit="false"/>
      <protection locked="true" hidden="false"/>
    </xf>
    <xf numFmtId="164" fontId="0" fillId="9" borderId="6" xfId="0" applyFont="false" applyBorder="true" applyAlignment="true" applyProtection="false">
      <alignment horizontal="general" vertical="center" textRotation="0" wrapText="true" indent="0" shrinkToFit="false"/>
      <protection locked="true" hidden="false"/>
    </xf>
    <xf numFmtId="164" fontId="10" fillId="9" borderId="7" xfId="0" applyFont="true" applyBorder="true" applyAlignment="true" applyProtection="false">
      <alignment horizontal="center" vertical="center" textRotation="0" wrapText="true" indent="0" shrinkToFit="false"/>
      <protection locked="true" hidden="false"/>
    </xf>
    <xf numFmtId="164" fontId="10" fillId="9" borderId="5" xfId="0" applyFont="true" applyBorder="true" applyAlignment="true" applyProtection="false">
      <alignment horizontal="general" vertical="center" textRotation="0" wrapText="true" indent="0" shrinkToFit="false"/>
      <protection locked="true" hidden="false"/>
    </xf>
    <xf numFmtId="164" fontId="0" fillId="9" borderId="3" xfId="0" applyFont="false" applyBorder="true" applyAlignment="true" applyProtection="false">
      <alignment horizontal="general" vertical="center" textRotation="0" wrapText="true" indent="0" shrinkToFit="false"/>
      <protection locked="true" hidden="false"/>
    </xf>
    <xf numFmtId="164" fontId="10" fillId="2" borderId="2" xfId="0" applyFont="true" applyBorder="true" applyAlignment="true" applyProtection="false">
      <alignment horizontal="center" vertical="center" textRotation="0" wrapText="true" indent="0" shrinkToFit="false"/>
      <protection locked="true" hidden="false"/>
    </xf>
    <xf numFmtId="164" fontId="10" fillId="2" borderId="3" xfId="0" applyFont="true" applyBorder="true" applyAlignment="true" applyProtection="false">
      <alignment horizontal="center" vertical="center" textRotation="0" wrapText="true" indent="0" shrinkToFit="false"/>
      <protection locked="true" hidden="false"/>
    </xf>
    <xf numFmtId="164" fontId="10" fillId="2" borderId="3" xfId="0" applyFont="true" applyBorder="true" applyAlignment="true" applyProtection="false">
      <alignment horizontal="general" vertical="center" textRotation="0" wrapText="true" indent="0" shrinkToFit="false"/>
      <protection locked="true" hidden="false"/>
    </xf>
    <xf numFmtId="164" fontId="10" fillId="0" borderId="4" xfId="0" applyFont="true" applyBorder="true" applyAlignment="true" applyProtection="false">
      <alignment horizontal="center" vertical="center" textRotation="0" wrapText="true" indent="0" shrinkToFit="false"/>
      <protection locked="true" hidden="false"/>
    </xf>
    <xf numFmtId="164" fontId="10" fillId="0" borderId="6"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0" fillId="10" borderId="3"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10" fillId="0" borderId="3" xfId="0" applyFont="true" applyBorder="true" applyAlignment="true" applyProtection="false">
      <alignment horizontal="general" vertical="center" textRotation="0" wrapText="true" indent="0" shrinkToFit="false"/>
      <protection locked="true" hidden="false"/>
    </xf>
    <xf numFmtId="164" fontId="10" fillId="10" borderId="6" xfId="0" applyFont="true" applyBorder="true" applyAlignment="true" applyProtection="false">
      <alignment horizontal="center" vertical="center" textRotation="0" wrapText="true" indent="0" shrinkToFit="false"/>
      <protection locked="true" hidden="false"/>
    </xf>
    <xf numFmtId="164" fontId="10" fillId="10" borderId="6" xfId="0" applyFont="true" applyBorder="true" applyAlignment="true" applyProtection="false">
      <alignment horizontal="general" vertical="center" textRotation="0" wrapText="true" indent="0" shrinkToFit="false"/>
      <protection locked="true" hidden="false"/>
    </xf>
    <xf numFmtId="164" fontId="10" fillId="0" borderId="7" xfId="0" applyFont="true" applyBorder="true" applyAlignment="true" applyProtection="false">
      <alignment horizontal="center" vertical="center" textRotation="0" wrapText="true" indent="0" shrinkToFit="false"/>
      <protection locked="true" hidden="false"/>
    </xf>
    <xf numFmtId="164" fontId="10" fillId="0" borderId="5" xfId="0" applyFont="true" applyBorder="true" applyAlignment="true" applyProtection="false">
      <alignment horizontal="center" vertical="center" textRotation="0" wrapText="true" indent="0" shrinkToFit="false"/>
      <protection locked="true" hidden="false"/>
    </xf>
    <xf numFmtId="164" fontId="10" fillId="10" borderId="7" xfId="0" applyFont="true" applyBorder="true" applyAlignment="true" applyProtection="false">
      <alignment horizontal="general" vertical="center" textRotation="0" wrapText="true" indent="0" shrinkToFit="false"/>
      <protection locked="true" hidden="false"/>
    </xf>
    <xf numFmtId="164" fontId="10" fillId="0" borderId="5" xfId="0" applyFont="true" applyBorder="true" applyAlignment="true" applyProtection="false">
      <alignment horizontal="general" vertical="center" textRotation="0" wrapText="true" indent="0" shrinkToFit="false"/>
      <protection locked="true" hidden="false"/>
    </xf>
    <xf numFmtId="164" fontId="10" fillId="9" borderId="4" xfId="0" applyFont="true" applyBorder="true" applyAlignment="true" applyProtection="false">
      <alignment horizontal="general" vertical="center" textRotation="0" wrapText="true" indent="0" shrinkToFit="false"/>
      <protection locked="true" hidden="false"/>
    </xf>
    <xf numFmtId="164" fontId="10" fillId="1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13" fillId="11" borderId="8" xfId="0" applyFont="true" applyBorder="true" applyAlignment="true" applyProtection="false">
      <alignment horizontal="general" vertical="center" textRotation="0" wrapText="true" indent="0" shrinkToFit="false"/>
      <protection locked="true" hidden="false"/>
    </xf>
    <xf numFmtId="164" fontId="13" fillId="11" borderId="9" xfId="0" applyFont="true" applyBorder="true" applyAlignment="true" applyProtection="false">
      <alignment horizontal="center" vertical="center" textRotation="0" wrapText="true" indent="0" shrinkToFit="false"/>
      <protection locked="true" hidden="false"/>
    </xf>
    <xf numFmtId="164" fontId="13" fillId="11" borderId="10" xfId="0" applyFont="true" applyBorder="true" applyAlignment="true" applyProtection="false">
      <alignment horizontal="center" vertical="center" textRotation="0" wrapText="true" indent="0" shrinkToFit="false"/>
      <protection locked="true" hidden="false"/>
    </xf>
    <xf numFmtId="164" fontId="13" fillId="11" borderId="11" xfId="0" applyFont="true" applyBorder="true" applyAlignment="true" applyProtection="false">
      <alignment horizontal="center" vertical="center" textRotation="0" wrapText="true" indent="0" shrinkToFit="false"/>
      <protection locked="true" hidden="false"/>
    </xf>
    <xf numFmtId="164" fontId="13" fillId="11" borderId="12" xfId="0" applyFont="true" applyBorder="true" applyAlignment="true" applyProtection="false">
      <alignment horizontal="general"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true" indent="0" shrinkToFit="false"/>
      <protection locked="true" hidden="false"/>
    </xf>
    <xf numFmtId="164" fontId="0" fillId="13" borderId="13" xfId="0" applyFont="true" applyBorder="true" applyAlignment="true" applyProtection="false">
      <alignment horizontal="center" vertical="center" textRotation="0" wrapText="true" indent="0" shrinkToFit="false"/>
      <protection locked="true" hidden="false"/>
    </xf>
    <xf numFmtId="164" fontId="10" fillId="0" borderId="14" xfId="0" applyFont="true" applyBorder="true" applyAlignment="true" applyProtection="false">
      <alignment horizontal="center" vertical="center" textRotation="0" wrapText="true" indent="0" shrinkToFit="false"/>
      <protection locked="true" hidden="false"/>
    </xf>
    <xf numFmtId="164" fontId="10" fillId="0" borderId="15" xfId="0" applyFont="true" applyBorder="true" applyAlignment="true" applyProtection="false">
      <alignment horizontal="center" vertical="center" textRotation="0" wrapText="tru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10" fillId="10" borderId="15" xfId="0" applyFont="true" applyBorder="true" applyAlignment="true" applyProtection="false">
      <alignment horizontal="center" vertical="center" textRotation="0" wrapText="true" indent="0" shrinkToFit="false"/>
      <protection locked="true" hidden="false"/>
    </xf>
    <xf numFmtId="164" fontId="13" fillId="14" borderId="11" xfId="0" applyFont="true" applyBorder="true" applyAlignment="true" applyProtection="false">
      <alignment horizontal="center" vertical="center" textRotation="0" wrapText="true" indent="0" shrinkToFit="false"/>
      <protection locked="true" hidden="false"/>
    </xf>
    <xf numFmtId="164" fontId="13" fillId="14" borderId="12" xfId="0" applyFont="true" applyBorder="true" applyAlignment="true" applyProtection="false">
      <alignment horizontal="general" vertical="center" textRotation="0" wrapText="true" indent="0" shrinkToFit="false"/>
      <protection locked="true" hidden="false"/>
    </xf>
    <xf numFmtId="164" fontId="0" fillId="15" borderId="13" xfId="0" applyFont="true" applyBorder="true" applyAlignment="true" applyProtection="false">
      <alignment horizontal="center" vertical="center" textRotation="0" wrapText="true" indent="0" shrinkToFit="false"/>
      <protection locked="true" hidden="false"/>
    </xf>
    <xf numFmtId="164" fontId="14" fillId="14" borderId="12" xfId="0" applyFont="true" applyBorder="true" applyAlignment="true" applyProtection="false">
      <alignment horizontal="general" vertical="center" textRotation="0" wrapText="true" indent="0" shrinkToFit="false"/>
      <protection locked="true" hidden="false"/>
    </xf>
    <xf numFmtId="164" fontId="0" fillId="16"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4" fillId="0" borderId="0" xfId="20" applyFont="true" applyBorder="true" applyAlignment="true" applyProtection="true">
      <alignment horizontal="center" vertical="center" textRotation="0" wrapText="false" indent="0" shrinkToFit="false"/>
      <protection locked="true" hidden="false"/>
    </xf>
    <xf numFmtId="164" fontId="15" fillId="2" borderId="5" xfId="0" applyFont="true" applyBorder="true" applyAlignment="true" applyProtection="false">
      <alignment horizontal="center" vertical="center" textRotation="0" wrapText="true" indent="0" shrinkToFit="false"/>
      <protection locked="true" hidden="false"/>
    </xf>
    <xf numFmtId="164" fontId="7" fillId="2" borderId="16" xfId="0" applyFont="true" applyBorder="true" applyAlignment="true" applyProtection="false">
      <alignment horizontal="center" vertical="center" textRotation="0" wrapText="false" indent="0" shrinkToFit="false"/>
      <protection locked="true" hidden="false"/>
    </xf>
    <xf numFmtId="164" fontId="7" fillId="2" borderId="0" xfId="0" applyFont="true" applyBorder="false" applyAlignment="true" applyProtection="false">
      <alignment horizontal="center"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7" fillId="17" borderId="0" xfId="0" applyFont="true" applyBorder="true" applyAlignment="true" applyProtection="false">
      <alignment horizontal="center" vertical="center" textRotation="0" wrapText="false" indent="0" shrinkToFit="false"/>
      <protection locked="true" hidden="false"/>
    </xf>
    <xf numFmtId="164" fontId="7" fillId="17" borderId="0" xfId="0" applyFont="true" applyBorder="false" applyAlignment="true" applyProtection="false">
      <alignment horizontal="center" vertical="center" textRotation="0" wrapText="false" indent="0" shrinkToFit="false"/>
      <protection locked="true" hidden="false"/>
    </xf>
    <xf numFmtId="164" fontId="17" fillId="2" borderId="0" xfId="0" applyFont="true" applyBorder="true" applyAlignment="true" applyProtection="false">
      <alignment horizontal="center" vertical="center" textRotation="0" wrapText="false" indent="0" shrinkToFit="false"/>
      <protection locked="true" hidden="false"/>
    </xf>
    <xf numFmtId="164" fontId="7" fillId="17" borderId="0" xfId="0" applyFont="true" applyBorder="false" applyAlignment="true" applyProtection="false">
      <alignment horizontal="center" vertical="center"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2" shrinkToFit="false"/>
      <protection locked="true" hidden="false"/>
    </xf>
    <xf numFmtId="164" fontId="0" fillId="0" borderId="0" xfId="0" applyFont="true" applyBorder="false" applyAlignment="true" applyProtection="false">
      <alignment horizontal="left" vertical="center" textRotation="0" wrapText="false" indent="4" shrinkToFit="false"/>
      <protection locked="true" hidden="false"/>
    </xf>
    <xf numFmtId="164" fontId="6" fillId="2"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17" fillId="2" borderId="0" xfId="0" applyFont="true" applyBorder="false" applyAlignment="false" applyProtection="false">
      <alignment horizontal="general" vertical="bottom" textRotation="0" wrapText="false" indent="0" shrinkToFit="false"/>
      <protection locked="true" hidden="false"/>
    </xf>
    <xf numFmtId="164" fontId="0" fillId="18" borderId="0" xfId="0" applyFont="true" applyBorder="false" applyAlignment="false" applyProtection="false">
      <alignment horizontal="general" vertical="bottom" textRotation="0" wrapText="false" indent="0" shrinkToFit="false"/>
      <protection locked="true" hidden="false"/>
    </xf>
    <xf numFmtId="164" fontId="0" fillId="18" borderId="0" xfId="0" applyFont="true" applyBorder="false" applyAlignment="true" applyProtection="false">
      <alignment horizontal="general" vertical="bottom" textRotation="0" wrapText="true" indent="0" shrinkToFit="false"/>
      <protection locked="true" hidden="false"/>
    </xf>
    <xf numFmtId="164" fontId="18" fillId="18" borderId="0" xfId="0" applyFont="true" applyBorder="false" applyAlignment="true" applyProtection="false">
      <alignment horizontal="left" vertical="center" textRotation="0" wrapText="false" indent="0" shrinkToFit="false"/>
      <protection locked="true" hidden="false"/>
    </xf>
    <xf numFmtId="164" fontId="6" fillId="2"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20" fillId="2" borderId="0" xfId="0" applyFont="true" applyBorder="false" applyAlignment="true" applyProtection="false">
      <alignment horizontal="center" vertical="center" textRotation="0" wrapText="false" indent="0" shrinkToFit="false"/>
      <protection locked="true" hidden="false"/>
    </xf>
    <xf numFmtId="164" fontId="20" fillId="2" borderId="0" xfId="0" applyFont="true" applyBorder="true" applyAlignment="true" applyProtection="false">
      <alignment horizontal="center" vertical="center" textRotation="180" wrapText="false" indent="0" shrinkToFit="false"/>
      <protection locked="true" hidden="false"/>
    </xf>
    <xf numFmtId="164" fontId="21" fillId="18" borderId="0" xfId="0" applyFont="true" applyBorder="false" applyAlignment="false" applyProtection="false">
      <alignment horizontal="general" vertical="bottom" textRotation="0" wrapText="false" indent="0" shrinkToFit="false"/>
      <protection locked="true" hidden="false"/>
    </xf>
    <xf numFmtId="164" fontId="21" fillId="18" borderId="0" xfId="0" applyFont="true" applyBorder="false" applyAlignment="true" applyProtection="false">
      <alignment horizontal="general" vertical="bottom" textRotation="0" wrapText="true" indent="0" shrinkToFit="false"/>
      <protection locked="true" hidden="false"/>
    </xf>
    <xf numFmtId="164" fontId="22" fillId="19" borderId="17" xfId="0" applyFont="true" applyBorder="true" applyAlignment="true" applyProtection="true">
      <alignment horizontal="center" vertical="center" textRotation="0" wrapText="false" indent="0" shrinkToFit="false"/>
      <protection locked="true" hidden="false"/>
    </xf>
    <xf numFmtId="164" fontId="23" fillId="0" borderId="15" xfId="0" applyFont="true" applyBorder="true" applyAlignment="true" applyProtection="true">
      <alignment horizontal="left" vertical="center" textRotation="0" wrapText="true" indent="0" shrinkToFit="false"/>
      <protection locked="true" hidden="false"/>
    </xf>
    <xf numFmtId="164" fontId="0" fillId="20" borderId="0" xfId="0" applyFont="false" applyBorder="false" applyAlignment="false" applyProtection="false">
      <alignment horizontal="general" vertical="bottom" textRotation="0" wrapText="false" indent="0" shrinkToFit="false"/>
      <protection locked="true" hidden="false"/>
    </xf>
    <xf numFmtId="164" fontId="14" fillId="20" borderId="18" xfId="0" applyFont="true" applyBorder="true" applyAlignment="true" applyProtection="true">
      <alignment horizontal="center" vertical="center" textRotation="0" wrapText="true" indent="0" shrinkToFit="false"/>
      <protection locked="true" hidden="false"/>
    </xf>
    <xf numFmtId="164" fontId="20" fillId="20" borderId="0" xfId="0" applyFont="true" applyBorder="false" applyAlignment="true" applyProtection="false">
      <alignment horizontal="center" vertical="center" textRotation="0" wrapText="false" indent="0" shrinkToFit="false"/>
      <protection locked="true" hidden="false"/>
    </xf>
    <xf numFmtId="164" fontId="10" fillId="20" borderId="0" xfId="0" applyFont="true" applyBorder="false" applyAlignment="true" applyProtection="false">
      <alignment horizontal="center" vertical="center" textRotation="0" wrapText="false" indent="0" shrinkToFit="false"/>
      <protection locked="true" hidden="false"/>
    </xf>
    <xf numFmtId="164" fontId="25" fillId="20" borderId="0" xfId="0" applyFont="true" applyBorder="false" applyAlignment="false" applyProtection="false">
      <alignment horizontal="general" vertical="bottom" textRotation="0" wrapText="false" indent="0" shrinkToFit="false"/>
      <protection locked="true" hidden="false"/>
    </xf>
    <xf numFmtId="164" fontId="19" fillId="20" borderId="0" xfId="0" applyFont="true" applyBorder="false" applyAlignment="true" applyProtection="false">
      <alignment horizontal="center" vertical="center" textRotation="0" wrapText="false" indent="0" shrinkToFit="false"/>
      <protection locked="true" hidden="false"/>
    </xf>
    <xf numFmtId="164" fontId="19" fillId="20" borderId="0" xfId="0" applyFont="true" applyBorder="false" applyAlignment="false" applyProtection="false">
      <alignment horizontal="general" vertical="bottom" textRotation="0" wrapText="false" indent="0" shrinkToFit="false"/>
      <protection locked="true" hidden="false"/>
    </xf>
    <xf numFmtId="164" fontId="0" fillId="21" borderId="0" xfId="0" applyFont="false" applyBorder="false" applyAlignment="false" applyProtection="false">
      <alignment horizontal="general" vertical="bottom" textRotation="0" wrapText="false" indent="0" shrinkToFit="false"/>
      <protection locked="true" hidden="false"/>
    </xf>
    <xf numFmtId="164" fontId="0" fillId="20" borderId="0" xfId="0" applyFont="true" applyBorder="false" applyAlignment="true" applyProtection="false">
      <alignment horizontal="center" vertical="center" textRotation="0" wrapText="false" indent="0" shrinkToFit="false"/>
      <protection locked="true" hidden="false"/>
    </xf>
    <xf numFmtId="164" fontId="10" fillId="20" borderId="0" xfId="0" applyFont="true" applyBorder="false" applyAlignment="false" applyProtection="false">
      <alignment horizontal="general" vertical="bottom" textRotation="0" wrapText="false" indent="0" shrinkToFit="false"/>
      <protection locked="true" hidden="false"/>
    </xf>
    <xf numFmtId="164" fontId="10" fillId="20" borderId="0" xfId="0" applyFont="true" applyBorder="false" applyAlignment="true" applyProtection="false">
      <alignment horizontal="general" vertical="center" textRotation="0" wrapText="false" indent="0" shrinkToFit="false"/>
      <protection locked="true" hidden="false"/>
    </xf>
    <xf numFmtId="164" fontId="19" fillId="20" borderId="0" xfId="0" applyFont="true" applyBorder="false" applyAlignment="true" applyProtection="false">
      <alignment horizontal="general" vertical="center" textRotation="0" wrapText="false" indent="0" shrinkToFit="false"/>
      <protection locked="true" hidden="false"/>
    </xf>
    <xf numFmtId="164" fontId="14" fillId="22" borderId="18" xfId="0" applyFont="true" applyBorder="true" applyAlignment="true" applyProtection="true">
      <alignment horizontal="center" vertical="center" textRotation="0" wrapText="true" indent="0" shrinkToFit="false"/>
      <protection locked="true" hidden="false"/>
    </xf>
    <xf numFmtId="164" fontId="0" fillId="23" borderId="0" xfId="0" applyFont="false" applyBorder="false" applyAlignment="true" applyProtection="false">
      <alignment horizontal="center" vertical="center" textRotation="0" wrapText="false" indent="0" shrinkToFit="false"/>
      <protection locked="true" hidden="false"/>
    </xf>
    <xf numFmtId="164" fontId="10" fillId="10" borderId="0" xfId="0" applyFont="true" applyBorder="false" applyAlignment="false" applyProtection="false">
      <alignment horizontal="general" vertical="bottom" textRotation="0" wrapText="false" indent="0" shrinkToFit="false"/>
      <protection locked="true" hidden="false"/>
    </xf>
    <xf numFmtId="164" fontId="0" fillId="23" borderId="0" xfId="0" applyFont="false" applyBorder="true" applyAlignment="true" applyProtection="false">
      <alignment horizontal="center" vertical="center" textRotation="0" wrapText="false" indent="0" shrinkToFit="false"/>
      <protection locked="true" hidden="false"/>
    </xf>
    <xf numFmtId="164" fontId="10" fillId="10" borderId="0" xfId="0" applyFont="true" applyBorder="true" applyAlignment="false" applyProtection="false">
      <alignment horizontal="general" vertical="bottom" textRotation="0" wrapText="false" indent="0" shrinkToFit="false"/>
      <protection locked="true" hidden="false"/>
    </xf>
    <xf numFmtId="164" fontId="10" fillId="10" borderId="0" xfId="0" applyFont="true" applyBorder="false" applyAlignment="true" applyProtection="false">
      <alignment horizontal="general" vertical="bottom" textRotation="0" wrapText="true" indent="0" shrinkToFit="false"/>
      <protection locked="true" hidden="false"/>
    </xf>
    <xf numFmtId="164" fontId="10" fillId="10" borderId="0" xfId="0" applyFont="true" applyBorder="true" applyAlignment="true" applyProtection="false">
      <alignment horizontal="general" vertical="bottom" textRotation="0" wrapText="true" indent="0" shrinkToFit="false"/>
      <protection locked="true" hidden="false"/>
    </xf>
    <xf numFmtId="164" fontId="10" fillId="1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bottom" textRotation="45"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true" applyProtection="false">
      <alignment horizontal="left" vertical="top" textRotation="0" wrapText="false" indent="0" shrinkToFit="false"/>
      <protection locked="true" hidden="false"/>
    </xf>
    <xf numFmtId="164" fontId="0" fillId="10" borderId="0" xfId="0" applyFont="true" applyBorder="false" applyAlignment="true" applyProtection="false">
      <alignment horizontal="center"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23" borderId="0" xfId="0" applyFont="true" applyBorder="false" applyAlignment="true" applyProtection="false">
      <alignment horizontal="left" vertical="top" textRotation="0" wrapText="false" indent="0" shrinkToFit="false"/>
      <protection locked="true" hidden="false"/>
    </xf>
    <xf numFmtId="164" fontId="26" fillId="24" borderId="0" xfId="0" applyFont="true" applyBorder="false" applyAlignment="true" applyProtection="false">
      <alignment horizontal="general" vertical="center" textRotation="180" wrapText="false" indent="0" shrinkToFit="false"/>
      <protection locked="true" hidden="false"/>
    </xf>
    <xf numFmtId="164" fontId="26" fillId="24" borderId="0" xfId="0" applyFont="true" applyBorder="true" applyAlignment="true" applyProtection="false">
      <alignment horizontal="center" vertical="center" textRotation="255" wrapText="false" indent="0" shrinkToFit="false"/>
      <protection locked="true" hidden="false"/>
    </xf>
    <xf numFmtId="164" fontId="6" fillId="2" borderId="0" xfId="0" applyFont="true" applyBorder="false" applyAlignment="true" applyProtection="false">
      <alignment horizontal="center" vertical="center" textRotation="0" wrapText="true" indent="0" shrinkToFit="false"/>
      <protection locked="true" hidden="false"/>
    </xf>
    <xf numFmtId="164" fontId="0" fillId="7" borderId="0" xfId="0" applyFont="true" applyBorder="fals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0" fillId="7" borderId="0" xfId="0" applyFont="true" applyBorder="false" applyAlignment="true" applyProtection="false">
      <alignment horizontal="general" vertical="center" textRotation="0" wrapText="true" indent="0" shrinkToFit="false"/>
      <protection locked="true" hidden="false"/>
    </xf>
    <xf numFmtId="164" fontId="19" fillId="7" borderId="0" xfId="0" applyFont="true" applyBorder="true" applyAlignment="true" applyProtection="false">
      <alignment horizontal="center" vertical="center" textRotation="255" wrapText="false" indent="0" shrinkToFit="false"/>
      <protection locked="true" hidden="false"/>
    </xf>
    <xf numFmtId="164" fontId="10" fillId="9" borderId="0" xfId="0" applyFont="true" applyBorder="false" applyAlignment="true" applyProtection="false">
      <alignment horizontal="general" vertical="center" textRotation="0" wrapText="true" indent="0" shrinkToFit="false"/>
      <protection locked="true" hidden="false"/>
    </xf>
    <xf numFmtId="164" fontId="10" fillId="9" borderId="0" xfId="0" applyFont="true" applyBorder="false" applyAlignment="true" applyProtection="false">
      <alignment horizontal="center" vertical="center" textRotation="0" wrapText="false" indent="0" shrinkToFit="false"/>
      <protection locked="true" hidden="false"/>
    </xf>
    <xf numFmtId="164" fontId="10" fillId="9" borderId="0" xfId="0" applyFont="true" applyBorder="false" applyAlignment="true" applyProtection="false">
      <alignment horizontal="general" vertical="bottom" textRotation="0" wrapText="true" indent="0" shrinkToFit="false"/>
      <protection locked="true" hidden="false"/>
    </xf>
    <xf numFmtId="164" fontId="10" fillId="9"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0" fillId="7" borderId="0" xfId="0" applyFont="true" applyBorder="false" applyAlignment="true" applyProtection="false">
      <alignment horizontal="left" vertical="top" textRotation="0" wrapText="false" indent="0" shrinkToFit="false"/>
      <protection locked="true" hidden="false"/>
    </xf>
    <xf numFmtId="164" fontId="27" fillId="7" borderId="0" xfId="0" applyFont="true" applyBorder="false" applyAlignment="true" applyProtection="false">
      <alignment horizontal="left" vertical="top" textRotation="0" wrapText="true" indent="0" shrinkToFit="false"/>
      <protection locked="true" hidden="false"/>
    </xf>
    <xf numFmtId="164" fontId="27" fillId="7" borderId="0" xfId="0" applyFont="true" applyBorder="false" applyAlignment="false" applyProtection="false">
      <alignment horizontal="general" vertical="bottom" textRotation="0" wrapText="false" indent="0" shrinkToFit="false"/>
      <protection locked="true" hidden="false"/>
    </xf>
    <xf numFmtId="164" fontId="0" fillId="25" borderId="0" xfId="0" applyFont="true" applyBorder="false" applyAlignment="true" applyProtection="false">
      <alignment horizontal="left" vertical="top" textRotation="0" wrapText="false" indent="0" shrinkToFit="false"/>
      <protection locked="true" hidden="false"/>
    </xf>
    <xf numFmtId="164" fontId="0" fillId="25" borderId="0" xfId="0" applyFont="false" applyBorder="false" applyAlignment="false" applyProtection="false">
      <alignment horizontal="general" vertical="bottom" textRotation="0" wrapText="false" indent="0" shrinkToFit="false"/>
      <protection locked="true" hidden="false"/>
    </xf>
    <xf numFmtId="164" fontId="29" fillId="7" borderId="0" xfId="0" applyFont="true" applyBorder="false" applyAlignment="false" applyProtection="false">
      <alignment horizontal="general" vertical="bottom" textRotation="0" wrapText="false" indent="0" shrinkToFit="false"/>
      <protection locked="true" hidden="false"/>
    </xf>
    <xf numFmtId="164" fontId="30" fillId="0" borderId="4" xfId="0" applyFont="true" applyBorder="true" applyAlignment="true" applyProtection="false">
      <alignment horizontal="general" vertical="center" textRotation="0" wrapText="false" indent="0" shrinkToFit="false"/>
      <protection locked="true" hidden="false"/>
    </xf>
    <xf numFmtId="164" fontId="30" fillId="0" borderId="5" xfId="0" applyFont="true" applyBorder="true" applyAlignment="true" applyProtection="false">
      <alignment horizontal="general" vertical="center" textRotation="0" wrapText="true" indent="0" shrinkToFit="false"/>
      <protection locked="true" hidden="false"/>
    </xf>
    <xf numFmtId="164" fontId="31" fillId="0" borderId="4" xfId="0" applyFont="true" applyBorder="true" applyAlignment="true" applyProtection="false">
      <alignment horizontal="general" vertical="center" textRotation="0" wrapText="true" indent="0" shrinkToFit="false"/>
      <protection locked="true" hidden="false"/>
    </xf>
    <xf numFmtId="164" fontId="32" fillId="0" borderId="2" xfId="0" applyFont="true" applyBorder="true" applyAlignment="true" applyProtection="false">
      <alignment horizontal="center" vertical="center"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32" fillId="0" borderId="3" xfId="0" applyFont="true" applyBorder="true" applyAlignment="true" applyProtection="false">
      <alignment horizontal="center" vertical="center" textRotation="0" wrapText="true" indent="0" shrinkToFit="false"/>
      <protection locked="true" hidden="false"/>
    </xf>
    <xf numFmtId="164" fontId="27" fillId="0" borderId="3" xfId="0" applyFont="true" applyBorder="true" applyAlignment="true" applyProtection="false">
      <alignment horizontal="center" vertical="center" textRotation="0" wrapText="true" indent="0" shrinkToFit="false"/>
      <protection locked="true" hidden="false"/>
    </xf>
    <xf numFmtId="164" fontId="33" fillId="0" borderId="3" xfId="0" applyFont="true" applyBorder="true" applyAlignment="true" applyProtection="false">
      <alignment horizontal="general" vertical="center" textRotation="0" wrapText="true" indent="0" shrinkToFit="false"/>
      <protection locked="true" hidden="false"/>
    </xf>
    <xf numFmtId="164" fontId="0" fillId="0" borderId="19" xfId="0" applyFont="true" applyBorder="true" applyAlignment="true" applyProtection="false">
      <alignment horizontal="general" vertical="center" textRotation="0" wrapText="true" indent="0" shrinkToFit="false"/>
      <protection locked="true" hidden="false"/>
    </xf>
    <xf numFmtId="164" fontId="32" fillId="0" borderId="19" xfId="0" applyFont="true" applyBorder="true" applyAlignment="true" applyProtection="false">
      <alignment horizontal="general" vertical="center" textRotation="0" wrapText="true" indent="0" shrinkToFit="false"/>
      <protection locked="true" hidden="false"/>
    </xf>
    <xf numFmtId="164" fontId="33" fillId="0" borderId="19" xfId="0" applyFont="true" applyBorder="true" applyAlignment="true" applyProtection="false">
      <alignment horizontal="general" vertical="center" textRotation="0" wrapText="true" indent="0" shrinkToFit="false"/>
      <protection locked="true" hidden="false"/>
    </xf>
    <xf numFmtId="164" fontId="32" fillId="0" borderId="4" xfId="0" applyFont="true" applyBorder="true" applyAlignment="true" applyProtection="false">
      <alignment horizontal="general" vertical="center" textRotation="0" wrapText="false" indent="0" shrinkToFit="false"/>
      <protection locked="true" hidden="false"/>
    </xf>
    <xf numFmtId="164" fontId="33" fillId="0" borderId="4" xfId="0" applyFont="true" applyBorder="true" applyAlignment="true" applyProtection="false">
      <alignment horizontal="general" vertical="center" textRotation="0" wrapText="true" indent="0" shrinkToFit="false"/>
      <protection locked="true" hidden="false"/>
    </xf>
    <xf numFmtId="164" fontId="0" fillId="0" borderId="4" xfId="0" applyFont="true" applyBorder="true" applyAlignment="true" applyProtection="false">
      <alignment horizontal="general" vertical="center" textRotation="0" wrapText="true" indent="0" shrinkToFit="false"/>
      <protection locked="true" hidden="false"/>
    </xf>
    <xf numFmtId="164" fontId="18" fillId="26" borderId="0" xfId="0" applyFont="true" applyBorder="false" applyAlignment="true" applyProtection="false">
      <alignment horizontal="left" vertical="top" textRotation="0" wrapText="false" indent="0" shrinkToFit="false"/>
      <protection locked="true" hidden="false"/>
    </xf>
    <xf numFmtId="164" fontId="34" fillId="0" borderId="4" xfId="0" applyFont="true" applyBorder="tru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false" indent="0" shrinkToFit="false"/>
      <protection locked="true" hidden="false"/>
    </xf>
    <xf numFmtId="164" fontId="34" fillId="0" borderId="2" xfId="0" applyFont="true" applyBorder="true" applyAlignment="true" applyProtection="false">
      <alignment horizontal="center" vertical="center" textRotation="0" wrapText="fals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2" shrinkToFit="false"/>
      <protection locked="true" hidden="false"/>
    </xf>
    <xf numFmtId="164" fontId="0" fillId="25" borderId="0" xfId="0" applyFont="true" applyBorder="true" applyAlignment="true" applyProtection="false">
      <alignment horizontal="left" vertical="top" textRotation="0" wrapText="false" indent="0" shrinkToFit="false"/>
      <protection locked="true" hidden="false"/>
    </xf>
    <xf numFmtId="164" fontId="0" fillId="0" borderId="0" xfId="0" applyFont="true" applyBorder="true" applyAlignment="true" applyProtection="false">
      <alignment horizontal="left" vertical="top" textRotation="0" wrapText="false" indent="0" shrinkToFit="false"/>
      <protection locked="true" hidden="false"/>
    </xf>
    <xf numFmtId="164" fontId="13" fillId="27" borderId="20" xfId="0" applyFont="true" applyBorder="true" applyAlignment="true" applyProtection="false">
      <alignment horizontal="general" vertical="bottom" textRotation="0" wrapText="true" indent="0" shrinkToFit="false"/>
      <protection locked="true" hidden="false"/>
    </xf>
    <xf numFmtId="164" fontId="13" fillId="28" borderId="20" xfId="0" applyFont="true" applyBorder="true" applyAlignment="true" applyProtection="false">
      <alignment horizontal="general" vertical="bottom" textRotation="0" wrapText="true" indent="0" shrinkToFit="false"/>
      <protection locked="true" hidden="false"/>
    </xf>
    <xf numFmtId="164" fontId="13" fillId="27" borderId="20" xfId="0" applyFont="true" applyBorder="true" applyAlignment="true" applyProtection="false">
      <alignment horizontal="center" vertical="bottom" textRotation="0" wrapText="true" indent="0" shrinkToFit="false"/>
      <protection locked="true" hidden="false"/>
    </xf>
    <xf numFmtId="164" fontId="13" fillId="29" borderId="20" xfId="0" applyFont="true" applyBorder="true" applyAlignment="true" applyProtection="false">
      <alignment horizontal="center" vertical="bottom" textRotation="0" wrapText="true" indent="0" shrinkToFit="false"/>
      <protection locked="true" hidden="false"/>
    </xf>
    <xf numFmtId="164" fontId="13" fillId="28" borderId="20" xfId="0" applyFont="true" applyBorder="true" applyAlignment="true" applyProtection="false">
      <alignment horizontal="center" vertical="bottom" textRotation="0" wrapText="true" indent="0" shrinkToFit="false"/>
      <protection locked="true" hidden="false"/>
    </xf>
    <xf numFmtId="165" fontId="13" fillId="27" borderId="20" xfId="0" applyFont="true" applyBorder="true" applyAlignment="true" applyProtection="false">
      <alignment horizontal="general" vertical="bottom" textRotation="0" wrapText="tru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general" vertical="bottom" textRotation="0" wrapText="true" indent="0" shrinkToFit="false"/>
      <protection locked="true" hidden="false"/>
    </xf>
    <xf numFmtId="164" fontId="0" fillId="7" borderId="0" xfId="0" applyFont="true" applyBorder="false" applyAlignment="true" applyProtection="false">
      <alignment horizontal="center" vertical="bottom" textRotation="0" wrapText="false" indent="0" shrinkToFit="false"/>
      <protection locked="true" hidden="false"/>
    </xf>
    <xf numFmtId="164" fontId="35" fillId="7" borderId="0" xfId="0" applyFont="true" applyBorder="false" applyAlignment="true" applyProtection="false">
      <alignment horizontal="center" vertical="bottom" textRotation="0" wrapText="false" indent="0" shrinkToFit="false"/>
      <protection locked="true" hidden="false"/>
    </xf>
    <xf numFmtId="165" fontId="0" fillId="7" borderId="0" xfId="0" applyFont="true" applyBorder="false" applyAlignment="false" applyProtection="false">
      <alignment horizontal="general"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true" applyProtection="false">
      <alignment horizontal="center" vertical="bottom" textRotation="0" wrapText="false" indent="0" shrinkToFit="false"/>
      <protection locked="true" hidden="false"/>
    </xf>
    <xf numFmtId="165"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left" vertical="bottom" textRotation="0" wrapText="false" indent="0" shrinkToFit="false"/>
      <protection locked="true" hidden="false"/>
    </xf>
    <xf numFmtId="164" fontId="0" fillId="7" borderId="1" xfId="0" applyFont="true" applyBorder="true" applyAlignment="false" applyProtection="false">
      <alignment horizontal="general" vertical="bottom" textRotation="0" wrapText="false" indent="0" shrinkToFit="false"/>
      <protection locked="true" hidden="false"/>
    </xf>
    <xf numFmtId="164" fontId="0" fillId="7" borderId="1" xfId="0" applyFont="true" applyBorder="true" applyAlignment="true" applyProtection="false">
      <alignment horizontal="center" vertical="bottom" textRotation="0" wrapText="false" indent="0" shrinkToFit="false"/>
      <protection locked="true" hidden="false"/>
    </xf>
    <xf numFmtId="164" fontId="35" fillId="7" borderId="1" xfId="0" applyFont="true" applyBorder="true" applyAlignment="true" applyProtection="false">
      <alignment horizontal="center" vertical="bottom" textRotation="0" wrapText="false" indent="0" shrinkToFit="false"/>
      <protection locked="true" hidden="false"/>
    </xf>
    <xf numFmtId="164" fontId="0" fillId="7" borderId="1" xfId="0" applyFont="true" applyBorder="true" applyAlignment="true" applyProtection="false">
      <alignment horizontal="left" vertical="bottom" textRotation="0" wrapText="false" indent="0" shrinkToFit="false"/>
      <protection locked="true" hidden="false"/>
    </xf>
    <xf numFmtId="164" fontId="13" fillId="30" borderId="21" xfId="0" applyFont="true" applyBorder="true" applyAlignment="true" applyProtection="false">
      <alignment horizontal="center" vertical="center" textRotation="0" wrapText="false" indent="0" shrinkToFit="false"/>
      <protection locked="true" hidden="false"/>
    </xf>
    <xf numFmtId="164" fontId="0" fillId="9" borderId="15" xfId="0" applyFont="true" applyBorder="true" applyAlignment="true" applyProtection="false">
      <alignment horizontal="center" vertical="center" textRotation="0" wrapText="true" indent="0" shrinkToFit="false"/>
      <protection locked="true" hidden="false"/>
    </xf>
    <xf numFmtId="164" fontId="0" fillId="26" borderId="0" xfId="0" applyFont="true" applyBorder="false" applyAlignment="true" applyProtection="false">
      <alignment horizontal="center" vertical="center" textRotation="0" wrapText="false" indent="0" shrinkToFit="false"/>
      <protection locked="true" hidden="false"/>
    </xf>
    <xf numFmtId="164" fontId="0" fillId="25" borderId="15" xfId="0" applyFont="true" applyBorder="true" applyAlignment="true" applyProtection="false">
      <alignment horizontal="center" vertical="center" textRotation="0" wrapText="true" indent="0" shrinkToFit="false"/>
      <protection locked="true" hidden="false"/>
    </xf>
    <xf numFmtId="164" fontId="0" fillId="31" borderId="0" xfId="0" applyFont="true" applyBorder="false" applyAlignment="true" applyProtection="false">
      <alignment horizontal="center" vertical="center" textRotation="0" wrapText="false" indent="0" shrinkToFit="false"/>
      <protection locked="true" hidden="false"/>
    </xf>
    <xf numFmtId="164" fontId="13" fillId="11" borderId="22" xfId="0" applyFont="true" applyBorder="true" applyAlignment="true" applyProtection="false">
      <alignment horizontal="general" vertical="center" textRotation="0" wrapText="true" indent="0" shrinkToFit="false"/>
      <protection locked="true" hidden="false"/>
    </xf>
    <xf numFmtId="164" fontId="36" fillId="26" borderId="23" xfId="0" applyFont="true" applyBorder="true" applyAlignment="true" applyProtection="false">
      <alignment horizontal="center" vertical="center" textRotation="0" wrapText="true" indent="0" shrinkToFit="false"/>
      <protection locked="true" hidden="false"/>
    </xf>
    <xf numFmtId="164" fontId="18" fillId="26" borderId="13" xfId="0" applyFont="true" applyBorder="true" applyAlignment="true" applyProtection="false">
      <alignment horizontal="center" vertical="center" textRotation="0" wrapText="true" indent="0" shrinkToFit="false"/>
      <protection locked="true" hidden="false"/>
    </xf>
    <xf numFmtId="164" fontId="0" fillId="32" borderId="0" xfId="0" applyFont="true" applyBorder="true" applyAlignment="true" applyProtection="false">
      <alignment horizontal="center" vertical="center" textRotation="0" wrapText="false" indent="0" shrinkToFit="false"/>
      <protection locked="true" hidden="false"/>
    </xf>
    <xf numFmtId="164" fontId="0" fillId="32" borderId="0" xfId="0" applyFont="true" applyBorder="false" applyAlignment="false" applyProtection="false">
      <alignment horizontal="general" vertical="bottom" textRotation="0" wrapText="false" indent="0" shrinkToFit="false"/>
      <protection locked="true" hidden="false"/>
    </xf>
    <xf numFmtId="164" fontId="0" fillId="33" borderId="0" xfId="0" applyFont="true" applyBorder="true" applyAlignment="true" applyProtection="false">
      <alignment horizontal="center" vertical="center" textRotation="0" wrapText="false" indent="0" shrinkToFit="false"/>
      <protection locked="true" hidden="false"/>
    </xf>
    <xf numFmtId="164" fontId="0" fillId="33" borderId="0" xfId="0" applyFont="true" applyBorder="false" applyAlignment="false" applyProtection="false">
      <alignment horizontal="general" vertical="bottom" textRotation="0" wrapText="false" indent="0" shrinkToFit="false"/>
      <protection locked="true" hidden="false"/>
    </xf>
    <xf numFmtId="164" fontId="37" fillId="11" borderId="12" xfId="0" applyFont="true" applyBorder="true" applyAlignment="true" applyProtection="false">
      <alignment horizontal="general" vertical="center" textRotation="0" wrapText="true" indent="0" shrinkToFit="false"/>
      <protection locked="true" hidden="false"/>
    </xf>
    <xf numFmtId="164" fontId="0" fillId="34" borderId="13" xfId="0" applyFont="true" applyBorder="true" applyAlignment="true" applyProtection="false">
      <alignment horizontal="center" vertical="center" textRotation="0" wrapText="true" indent="0" shrinkToFit="false"/>
      <protection locked="true" hidden="false"/>
    </xf>
    <xf numFmtId="164" fontId="0" fillId="35" borderId="13" xfId="0" applyFont="true" applyBorder="true" applyAlignment="true" applyProtection="false">
      <alignment horizontal="center" vertical="center" textRotation="0" wrapText="true" indent="0" shrinkToFit="false"/>
      <protection locked="true" hidden="false"/>
    </xf>
    <xf numFmtId="164" fontId="40"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6" fontId="0" fillId="0" borderId="0" xfId="0" applyFont="fals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0" fillId="25"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0" fillId="25" borderId="0" xfId="0" applyFont="true" applyBorder="fals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center" vertical="center" textRotation="0" wrapText="true" indent="0" shrinkToFit="false"/>
      <protection locked="true" hidden="false"/>
    </xf>
    <xf numFmtId="164" fontId="18" fillId="26" borderId="0" xfId="0" applyFont="true" applyBorder="false" applyAlignment="true" applyProtection="false">
      <alignment horizontal="center"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center" vertical="center" textRotation="0" wrapText="false" indent="0" shrinkToFit="false"/>
      <protection locked="true" hidden="false"/>
    </xf>
    <xf numFmtId="164" fontId="0" fillId="26"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true" applyProtection="false">
      <alignment horizontal="left" vertical="top" textRotation="0" wrapText="false" indent="0" shrinkToFit="false"/>
      <protection locked="true" hidden="false"/>
    </xf>
    <xf numFmtId="164" fontId="44" fillId="0" borderId="0" xfId="0" applyFont="true" applyBorder="false" applyAlignment="true" applyProtection="false">
      <alignment horizontal="left"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s>
  <dxfs count="3">
    <dxf>
      <font>
        <b val="1"/>
        <i val="0"/>
      </font>
      <fill>
        <patternFill>
          <bgColor rgb="FFFFC000"/>
        </patternFill>
      </fill>
    </dxf>
    <dxf>
      <font>
        <b val="1"/>
        <i val="0"/>
        <color rgb="FFFFFFFF"/>
      </font>
      <fill>
        <patternFill>
          <bgColor rgb="FFC00000"/>
        </patternFill>
      </fill>
    </dxf>
    <dxf>
      <fill>
        <patternFill>
          <bgColor rgb="FF92D050"/>
        </patternFill>
      </fill>
    </dxf>
  </dxfs>
  <colors>
    <indexedColors>
      <rgbColor rgb="FF000000"/>
      <rgbColor rgb="FFFFFFFF"/>
      <rgbColor rgb="FFFF0000"/>
      <rgbColor rgb="FF00FF00"/>
      <rgbColor rgb="FF0000FF"/>
      <rgbColor rgb="FFFFFF00"/>
      <rgbColor rgb="FFFF00FF"/>
      <rgbColor rgb="FFB4C6E7"/>
      <rgbColor rgb="FFC00000"/>
      <rgbColor rgb="FF385724"/>
      <rgbColor rgb="FF0D0D0D"/>
      <rgbColor rgb="FF70AD47"/>
      <rgbColor rgb="FF800080"/>
      <rgbColor rgb="FF2F75B5"/>
      <rgbColor rgb="FFC9C9C9"/>
      <rgbColor rgb="FF808080"/>
      <rgbColor rgb="FF8FAADC"/>
      <rgbColor rgb="FFC55A11"/>
      <rgbColor rgb="FFF2F2F2"/>
      <rgbColor rgb="FFDEEAF6"/>
      <rgbColor rgb="FF660066"/>
      <rgbColor rgb="FFF4B183"/>
      <rgbColor rgb="FF0563C1"/>
      <rgbColor rgb="FFBDD6EE"/>
      <rgbColor rgb="FF181717"/>
      <rgbColor rgb="FFFF00FF"/>
      <rgbColor rgb="FFA9D18E"/>
      <rgbColor rgb="FF00FFFF"/>
      <rgbColor rgb="FF800080"/>
      <rgbColor rgb="FF800000"/>
      <rgbColor rgb="FF375623"/>
      <rgbColor rgb="FF0000FF"/>
      <rgbColor rgb="FFB4C7E7"/>
      <rgbColor rgb="FFD9E2F3"/>
      <rgbColor rgb="FFD9D9D9"/>
      <rgbColor rgb="FFF7CAAC"/>
      <rgbColor rgb="FF9BC2E6"/>
      <rgbColor rgb="FFF4B083"/>
      <rgbColor rgb="FFADB9CA"/>
      <rgbColor rgb="FFF8CBAD"/>
      <rgbColor rgb="FF4472C4"/>
      <rgbColor rgb="FF5EC5C2"/>
      <rgbColor rgb="FF92D050"/>
      <rgbColor rgb="FFFFC000"/>
      <rgbColor rgb="FFD0CECE"/>
      <rgbColor rgb="FFED7D31"/>
      <rgbColor rgb="FF404040"/>
      <rgbColor rgb="FFA6A6A6"/>
      <rgbColor rgb="FF002060"/>
      <rgbColor rgb="FF00B050"/>
      <rgbColor rgb="FF1E1E1E"/>
      <rgbColor rgb="FF302825"/>
      <rgbColor rgb="FFC45911"/>
      <rgbColor rgb="FF993366"/>
      <rgbColor rgb="FF1F497D"/>
      <rgbColor rgb="FF3B3838"/>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621720</xdr:colOff>
      <xdr:row>0</xdr:row>
      <xdr:rowOff>0</xdr:rowOff>
    </xdr:from>
    <xdr:to>
      <xdr:col>11</xdr:col>
      <xdr:colOff>334800</xdr:colOff>
      <xdr:row>15</xdr:row>
      <xdr:rowOff>107280</xdr:rowOff>
    </xdr:to>
    <xdr:pic>
      <xdr:nvPicPr>
        <xdr:cNvPr id="0" name="Picture 2" descr=""/>
        <xdr:cNvPicPr/>
      </xdr:nvPicPr>
      <xdr:blipFill>
        <a:blip r:embed="rId1"/>
        <a:stretch/>
      </xdr:blipFill>
      <xdr:spPr>
        <a:xfrm>
          <a:off x="10956240" y="0"/>
          <a:ext cx="6714000" cy="32580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9360</xdr:colOff>
      <xdr:row>0</xdr:row>
      <xdr:rowOff>171360</xdr:rowOff>
    </xdr:from>
    <xdr:to>
      <xdr:col>6</xdr:col>
      <xdr:colOff>637560</xdr:colOff>
      <xdr:row>3</xdr:row>
      <xdr:rowOff>123480</xdr:rowOff>
    </xdr:to>
    <xdr:sp>
      <xdr:nvSpPr>
        <xdr:cNvPr id="1" name="CustomShape 1"/>
        <xdr:cNvSpPr/>
      </xdr:nvSpPr>
      <xdr:spPr>
        <a:xfrm flipV="1">
          <a:off x="4500360" y="171360"/>
          <a:ext cx="1455840" cy="50832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8</xdr:col>
      <xdr:colOff>46440</xdr:colOff>
      <xdr:row>1</xdr:row>
      <xdr:rowOff>0</xdr:rowOff>
    </xdr:from>
    <xdr:to>
      <xdr:col>10</xdr:col>
      <xdr:colOff>9360</xdr:colOff>
      <xdr:row>3</xdr:row>
      <xdr:rowOff>95040</xdr:rowOff>
    </xdr:to>
    <xdr:sp>
      <xdr:nvSpPr>
        <xdr:cNvPr id="2" name="CustomShape 1"/>
        <xdr:cNvSpPr/>
      </xdr:nvSpPr>
      <xdr:spPr>
        <a:xfrm>
          <a:off x="11897280" y="185400"/>
          <a:ext cx="1617840" cy="46584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7</xdr:col>
      <xdr:colOff>2217960</xdr:colOff>
      <xdr:row>2</xdr:row>
      <xdr:rowOff>8280</xdr:rowOff>
    </xdr:from>
    <xdr:to>
      <xdr:col>7</xdr:col>
      <xdr:colOff>2219040</xdr:colOff>
      <xdr:row>3</xdr:row>
      <xdr:rowOff>18720</xdr:rowOff>
    </xdr:to>
    <xdr:sp>
      <xdr:nvSpPr>
        <xdr:cNvPr id="3" name="CustomShape 1"/>
        <xdr:cNvSpPr/>
      </xdr:nvSpPr>
      <xdr:spPr>
        <a:xfrm>
          <a:off x="8363880" y="379080"/>
          <a:ext cx="1080" cy="195840"/>
        </a:xfrm>
        <a:custGeom>
          <a:avLst/>
          <a:gdLst/>
          <a:ahLst/>
          <a:rect l="l" t="t" r="r" b="b"/>
          <a:pathLst>
            <a:path w="21600" h="21600">
              <a:moveTo>
                <a:pt x="0" y="0"/>
              </a:moveTo>
              <a:lnTo>
                <a:pt x="21600" y="21600"/>
              </a:lnTo>
            </a:path>
          </a:pathLst>
        </a:cu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4</xdr:col>
      <xdr:colOff>1981080</xdr:colOff>
      <xdr:row>21</xdr:row>
      <xdr:rowOff>106200</xdr:rowOff>
    </xdr:from>
    <xdr:to>
      <xdr:col>7</xdr:col>
      <xdr:colOff>7560</xdr:colOff>
      <xdr:row>24</xdr:row>
      <xdr:rowOff>104400</xdr:rowOff>
    </xdr:to>
    <xdr:sp>
      <xdr:nvSpPr>
        <xdr:cNvPr id="4" name="CustomShape 1"/>
        <xdr:cNvSpPr/>
      </xdr:nvSpPr>
      <xdr:spPr>
        <a:xfrm flipV="1">
          <a:off x="3476160" y="3999960"/>
          <a:ext cx="2677320" cy="55440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8</xdr:col>
      <xdr:colOff>8280</xdr:colOff>
      <xdr:row>21</xdr:row>
      <xdr:rowOff>76320</xdr:rowOff>
    </xdr:from>
    <xdr:to>
      <xdr:col>10</xdr:col>
      <xdr:colOff>542520</xdr:colOff>
      <xdr:row>24</xdr:row>
      <xdr:rowOff>114120</xdr:rowOff>
    </xdr:to>
    <xdr:sp>
      <xdr:nvSpPr>
        <xdr:cNvPr id="5" name="CustomShape 1"/>
        <xdr:cNvSpPr/>
      </xdr:nvSpPr>
      <xdr:spPr>
        <a:xfrm>
          <a:off x="11859120" y="3970080"/>
          <a:ext cx="2189160" cy="59400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7</xdr:col>
      <xdr:colOff>2201760</xdr:colOff>
      <xdr:row>22</xdr:row>
      <xdr:rowOff>8280</xdr:rowOff>
    </xdr:from>
    <xdr:to>
      <xdr:col>7</xdr:col>
      <xdr:colOff>2209680</xdr:colOff>
      <xdr:row>23</xdr:row>
      <xdr:rowOff>161640</xdr:rowOff>
    </xdr:to>
    <xdr:sp>
      <xdr:nvSpPr>
        <xdr:cNvPr id="6" name="CustomShape 1"/>
        <xdr:cNvSpPr/>
      </xdr:nvSpPr>
      <xdr:spPr>
        <a:xfrm>
          <a:off x="8347680" y="4087440"/>
          <a:ext cx="7920" cy="338760"/>
        </a:xfrm>
        <a:custGeom>
          <a:avLst/>
          <a:gdLst/>
          <a:ahLst/>
          <a:rect l="l" t="t" r="r" b="b"/>
          <a:pathLst>
            <a:path w="21600" h="21600">
              <a:moveTo>
                <a:pt x="0" y="0"/>
              </a:moveTo>
              <a:lnTo>
                <a:pt x="21600" y="21600"/>
              </a:lnTo>
            </a:path>
          </a:pathLst>
        </a:custGeom>
        <a:noFill/>
        <a:ln>
          <a:tailEnd len="med" type="triangle" w="med"/>
        </a:ln>
      </xdr:spPr>
      <xdr:style>
        <a:lnRef idx="1">
          <a:schemeClr val="accent1"/>
        </a:lnRef>
        <a:fillRef idx="0">
          <a:schemeClr val="accent1"/>
        </a:fillRef>
        <a:effectRef idx="0">
          <a:schemeClr val="accent1"/>
        </a:effectRef>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9360</xdr:colOff>
      <xdr:row>0</xdr:row>
      <xdr:rowOff>64440</xdr:rowOff>
    </xdr:from>
    <xdr:to>
      <xdr:col>5</xdr:col>
      <xdr:colOff>644400</xdr:colOff>
      <xdr:row>1</xdr:row>
      <xdr:rowOff>84600</xdr:rowOff>
    </xdr:to>
    <xdr:sp>
      <xdr:nvSpPr>
        <xdr:cNvPr id="7" name="CustomShape 1"/>
        <xdr:cNvSpPr/>
      </xdr:nvSpPr>
      <xdr:spPr>
        <a:xfrm flipV="1">
          <a:off x="2622240" y="64440"/>
          <a:ext cx="4685040" cy="20556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4</xdr:col>
      <xdr:colOff>95400</xdr:colOff>
      <xdr:row>0</xdr:row>
      <xdr:rowOff>143640</xdr:rowOff>
    </xdr:from>
    <xdr:to>
      <xdr:col>6</xdr:col>
      <xdr:colOff>10800</xdr:colOff>
      <xdr:row>3</xdr:row>
      <xdr:rowOff>84600</xdr:rowOff>
    </xdr:to>
    <xdr:sp>
      <xdr:nvSpPr>
        <xdr:cNvPr id="8" name="CustomShape 1"/>
        <xdr:cNvSpPr/>
      </xdr:nvSpPr>
      <xdr:spPr>
        <a:xfrm flipV="1">
          <a:off x="5980320" y="143640"/>
          <a:ext cx="1471320" cy="49716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6</xdr:col>
      <xdr:colOff>1181160</xdr:colOff>
      <xdr:row>0</xdr:row>
      <xdr:rowOff>76320</xdr:rowOff>
    </xdr:from>
    <xdr:to>
      <xdr:col>12</xdr:col>
      <xdr:colOff>37800</xdr:colOff>
      <xdr:row>1</xdr:row>
      <xdr:rowOff>92160</xdr:rowOff>
    </xdr:to>
    <xdr:sp>
      <xdr:nvSpPr>
        <xdr:cNvPr id="9" name="CustomShape 1"/>
        <xdr:cNvSpPr/>
      </xdr:nvSpPr>
      <xdr:spPr>
        <a:xfrm>
          <a:off x="8622000" y="76320"/>
          <a:ext cx="5792040" cy="20124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7</xdr:col>
      <xdr:colOff>9360</xdr:colOff>
      <xdr:row>0</xdr:row>
      <xdr:rowOff>123840</xdr:rowOff>
    </xdr:from>
    <xdr:to>
      <xdr:col>9</xdr:col>
      <xdr:colOff>11880</xdr:colOff>
      <xdr:row>3</xdr:row>
      <xdr:rowOff>95040</xdr:rowOff>
    </xdr:to>
    <xdr:sp>
      <xdr:nvSpPr>
        <xdr:cNvPr id="10" name="CustomShape 1"/>
        <xdr:cNvSpPr/>
      </xdr:nvSpPr>
      <xdr:spPr>
        <a:xfrm>
          <a:off x="8934120" y="123840"/>
          <a:ext cx="2339280" cy="527400"/>
        </a:xfrm>
        <a:prstGeom prst="bentConnector3">
          <a:avLst>
            <a:gd name="adj1" fmla="val 50000"/>
          </a:avLst>
        </a:prstGeom>
        <a:noFill/>
        <a:ln>
          <a:tailEnd len="med" type="triangle" w="med"/>
        </a:ln>
      </xdr:spPr>
      <xdr:style>
        <a:lnRef idx="1">
          <a:schemeClr val="accent1"/>
        </a:lnRef>
        <a:fillRef idx="0">
          <a:schemeClr val="accent1"/>
        </a:fillRef>
        <a:effectRef idx="0">
          <a:schemeClr val="accent1"/>
        </a:effectRef>
        <a:fontRef idx="minor"/>
      </xdr:style>
    </xdr:sp>
    <xdr:clientData/>
  </xdr:twoCellAnchor>
  <xdr:twoCellAnchor editAs="oneCell">
    <xdr:from>
      <xdr:col>6</xdr:col>
      <xdr:colOff>495360</xdr:colOff>
      <xdr:row>1</xdr:row>
      <xdr:rowOff>0</xdr:rowOff>
    </xdr:from>
    <xdr:to>
      <xdr:col>6</xdr:col>
      <xdr:colOff>495720</xdr:colOff>
      <xdr:row>3</xdr:row>
      <xdr:rowOff>9000</xdr:rowOff>
    </xdr:to>
    <xdr:sp>
      <xdr:nvSpPr>
        <xdr:cNvPr id="11" name="CustomShape 1"/>
        <xdr:cNvSpPr/>
      </xdr:nvSpPr>
      <xdr:spPr>
        <a:xfrm>
          <a:off x="7936200" y="185400"/>
          <a:ext cx="360" cy="379800"/>
        </a:xfrm>
        <a:custGeom>
          <a:avLst/>
          <a:gdLst/>
          <a:ahLst/>
          <a:rect l="l" t="t" r="r" b="b"/>
          <a:pathLst>
            <a:path w="21600" h="21600">
              <a:moveTo>
                <a:pt x="0" y="0"/>
              </a:moveTo>
              <a:lnTo>
                <a:pt x="21600" y="21600"/>
              </a:lnTo>
            </a:path>
          </a:pathLst>
        </a:custGeom>
        <a:noFill/>
        <a:ln>
          <a:tailEnd len="med" type="triangle" w="med"/>
        </a:ln>
      </xdr:spPr>
      <xdr:style>
        <a:lnRef idx="1">
          <a:schemeClr val="accent1"/>
        </a:lnRef>
        <a:fillRef idx="0">
          <a:schemeClr val="accent1"/>
        </a:fillRef>
        <a:effectRef idx="0">
          <a:schemeClr val="accent1"/>
        </a:effectRef>
        <a:fontRef idx="minor"/>
      </xdr:style>
    </xdr:sp>
    <xdr:clientData/>
  </xdr:twoCellAnchor>
</xdr:wsDr>
</file>

<file path=xl/tables/table1.xml><?xml version="1.0" encoding="utf-8"?>
<table xmlns="http://schemas.openxmlformats.org/spreadsheetml/2006/main" id="1" name="IncDetails_byApps" displayName="IncDetails_byApps" ref="AH2:AK44" headerRowCount="1" totalsRowCount="0" totalsRowShown="0">
  <autoFilter ref="AH2:AK44"/>
  <tableColumns count="4">
    <tableColumn id="1" name="Year-Month"/>
    <tableColumn id="2" name="AffectedServices"/>
    <tableColumn id="3" name="Severity"/>
    <tableColumn id="4" name="incident_count"/>
  </tableColumns>
</table>
</file>

<file path=xl/tables/table2.xml><?xml version="1.0" encoding="utf-8"?>
<table xmlns="http://schemas.openxmlformats.org/spreadsheetml/2006/main" id="2" name="Incident_Count" displayName="Incident_Count" ref="B5:D21" headerRowCount="1" totalsRowCount="0" totalsRowShown="0">
  <autoFilter ref="B5:D21">
    <filterColumn colId="0">
      <filters>
        <filter val="2019-08"/>
        <filter val="2019-09"/>
        <filter val="2019-10"/>
      </filters>
    </filterColumn>
  </autoFilter>
  <tableColumns count="3">
    <tableColumn id="1" name="Year-Month"/>
    <tableColumn id="2" name="Severity"/>
    <tableColumn id="3" name="incident_count"/>
  </tableColumns>
</table>
</file>

<file path=xl/tables/table3.xml><?xml version="1.0" encoding="utf-8"?>
<table xmlns="http://schemas.openxmlformats.org/spreadsheetml/2006/main" id="3" name="Incidents_Details" displayName="Incidents_Details" ref="B3:R64" headerRowCount="1" totalsRowCount="0" totalsRowShown="0">
  <autoFilter ref="B3:R64"/>
  <tableColumns count="17">
    <tableColumn id="1" name="Incident"/>
    <tableColumn id="2" name="AffectedServices"/>
    <tableColumn id="3" name="Severity"/>
    <tableColumn id="4" name="IncidentDate"/>
    <tableColumn id="5" name="outagestart"/>
    <tableColumn id="6" name="outageend"/>
    <tableColumn id="7" name="description"/>
    <tableColumn id="8" name="BusinessImpact"/>
    <tableColumn id="9" name="causedetails"/>
    <tableColumn id="10" name="Resolution"/>
    <tableColumn id="11" name="IC_Banking"/>
    <tableColumn id="12" name="IC_Corpo"/>
    <tableColumn id="13" name="IC_Fmarket"/>
    <tableColumn id="14" name="IC_Wealth"/>
    <tableColumn id="15" name="Duration"/>
    <tableColumn id="16" name="Month"/>
    <tableColumn id="17" name="name"/>
  </tableColumns>
</table>
</file>

<file path=xl/tables/table4.xml><?xml version="1.0" encoding="utf-8"?>
<table xmlns="http://schemas.openxmlformats.org/spreadsheetml/2006/main" id="4" name="Murex_Incidents" displayName="Murex_Incidents" ref="F5:I17" headerRowCount="1" totalsRowCount="0" totalsRowShown="0">
  <tableColumns count="4">
    <tableColumn id="1" name="IncidentDate"/>
    <tableColumn id="2" name="AffectedServices"/>
    <tableColumn id="3" name="severity"/>
    <tableColumn id="4" name="Durée en Minutes"/>
  </tableColumns>
</table>
</file>

<file path=xl/worksheets/_rels/sheet1.xml.rels><?xml version="1.0" encoding="UTF-8"?>
<Relationships xmlns="http://schemas.openxmlformats.org/package/2006/relationships"><Relationship Id="rId1" Type="http://schemas.openxmlformats.org/officeDocument/2006/relationships/hyperlink" Target="https://cbncnbccs.sharepoint.com/sites/bncdoc/fr/_layouts/15/search.aspx/siteall?q=continuite%20des%20affaires" TargetMode="External"/><Relationship Id="rId2" Type="http://schemas.openxmlformats.org/officeDocument/2006/relationships/hyperlink" Target="https://wiki.bnc.ca/spaces/viewspace.action?key=EDC" TargetMode="External"/>
</Relationships>
</file>

<file path=xl/worksheets/_rels/sheet4.xml.rels><?xml version="1.0" encoding="UTF-8"?>
<Relationships xmlns="http://schemas.openxmlformats.org/package/2006/relationships"><Relationship Id="rId1" Type="http://schemas.openxmlformats.org/officeDocument/2006/relationships/hyperlink" Target="mailto:Member.Testing@lch.com" TargetMode="External"/><Relationship Id="rId2" Type="http://schemas.openxmlformats.org/officeDocument/2006/relationships/hyperlink" Target="https://nbc.onbmc.com/arsys/servlet/ViewFormServlet?form=BNC%3AApplicationRecord&amp;server=onbmc-s&amp;eid=000000000000170" TargetMode="External"/><Relationship Id="rId3" Type="http://schemas.openxmlformats.org/officeDocument/2006/relationships/hyperlink" Target="https://nbc.onbmc.com/arsys/servlet/ViewFormServlet?form=BNC%3AApplicationRecord&amp;server=onbmc-s&amp;eid=000000000000230" TargetMode="External"/><Relationship Id="rId4" Type="http://schemas.openxmlformats.org/officeDocument/2006/relationships/hyperlink" Target="https://nbc.onbmc.com/arsys/servlet/ViewFormServlet?form=BNC%3AApplicationRecord&amp;server=onbmc-s&amp;eid=000000000000365" TargetMode="External"/><Relationship Id="rId5" Type="http://schemas.openxmlformats.org/officeDocument/2006/relationships/hyperlink" Target="https://nbc.onbmc.com/arsys/servlet/ViewFormServlet?form=BNC%3AApplicationRecord&amp;server=onbmc-s&amp;eid=000000000000392" TargetMode="External"/><Relationship Id="rId6" Type="http://schemas.openxmlformats.org/officeDocument/2006/relationships/hyperlink" Target="https://nbc.onbmc.com/arsys/servlet/ViewFormServlet?form=BNC%3AApplicationRecord&amp;server=onbmc-s&amp;eid=000000000000487" TargetMode="External"/><Relationship Id="rId7" Type="http://schemas.openxmlformats.org/officeDocument/2006/relationships/hyperlink" Target="https://nbc.onbmc.com/arsys/servlet/ViewFormServlet?form=BNC%3AApplicationRecord&amp;server=onbmc-s&amp;eid=000000000000661" TargetMode="External"/><Relationship Id="rId8" Type="http://schemas.openxmlformats.org/officeDocument/2006/relationships/hyperlink" Target="https://nbc.onbmc.com/arsys/servlet/ViewFormServlet?form=BNC%3AApplicationRecord&amp;server=onbmc-s&amp;eid=000000000000660" TargetMode="External"/><Relationship Id="rId9" Type="http://schemas.openxmlformats.org/officeDocument/2006/relationships/hyperlink" Target="https://nbc.onbmc.com/arsys/servlet/ViewFormServlet?form=BNC%3AApplicationRecord&amp;server=onbmc-s&amp;eid=000000000000761" TargetMode="External"/><Relationship Id="rId10" Type="http://schemas.openxmlformats.org/officeDocument/2006/relationships/hyperlink" Target="https://nbc.onbmc.com/arsys/servlet/ViewFormServlet?form=BNC%3AApplicationRecord&amp;server=onbmc-s&amp;eid=000000000000770" TargetMode="External"/><Relationship Id="rId11" Type="http://schemas.openxmlformats.org/officeDocument/2006/relationships/hyperlink" Target="https://nbc.onbmc.com/arsys/servlet/ViewFormServlet?form=BNC%3AApplicationRecord&amp;server=onbmc-s&amp;eid=000000000000088" TargetMode="External"/><Relationship Id="rId12" Type="http://schemas.openxmlformats.org/officeDocument/2006/relationships/hyperlink" Target="https://nbc.onbmc.com/arsys/servlet/ViewFormServlet?form=BNC%3AApplicationRecord&amp;server=onbmc-s&amp;eid=000000000000233" TargetMode="External"/><Relationship Id="rId13" Type="http://schemas.openxmlformats.org/officeDocument/2006/relationships/hyperlink" Target="https://nbc.onbmc.com/arsys/servlet/ViewFormServlet?form=BNC%3AApplicationRecord&amp;server=onbmc-s&amp;eid=000000000000364" TargetMode="External"/><Relationship Id="rId14" Type="http://schemas.openxmlformats.org/officeDocument/2006/relationships/hyperlink" Target="https://nbc.onbmc.com/arsys/servlet/ViewFormServlet?form=BNC%3AApplicationRecord&amp;server=onbmc-s&amp;eid=000000000000371" TargetMode="External"/><Relationship Id="rId15" Type="http://schemas.openxmlformats.org/officeDocument/2006/relationships/hyperlink" Target="https://nbc.onbmc.com/arsys/servlet/ViewFormServlet?form=BNC%3AApplicationRecord&amp;server=onbmc-s&amp;eid=000000000000431" TargetMode="External"/><Relationship Id="rId16" Type="http://schemas.openxmlformats.org/officeDocument/2006/relationships/hyperlink" Target="https://nbc.onbmc.com/arsys/servlet/ViewFormServlet?form=BNC%3AApplicationRecord&amp;server=onbmc-s&amp;eid=000000000000637" TargetMode="External"/><Relationship Id="rId17" Type="http://schemas.openxmlformats.org/officeDocument/2006/relationships/hyperlink" Target="https://nbc.onbmc.com/arsys/servlet/ViewFormServlet?form=BNC%3AApplicationRecord&amp;server=onbmc-s&amp;eid=000000000000773" TargetMode="External"/>
</Relationships>
</file>

<file path=xl/worksheets/_rels/sheet11.xml.rels><?xml version="1.0" encoding="UTF-8"?>
<Relationships xmlns="http://schemas.openxmlformats.org/package/2006/relationships"><Relationship Id="rId1" Type="http://schemas.openxmlformats.org/officeDocument/2006/relationships/drawing" Target="../drawings/drawing1.xml"/>
</Relationships>
</file>

<file path=xl/worksheets/_rels/sheet15.xml.rels><?xml version="1.0" encoding="UTF-8"?>
<Relationships xmlns="http://schemas.openxmlformats.org/package/2006/relationships"><Relationship Id="rId1" Type="http://schemas.openxmlformats.org/officeDocument/2006/relationships/drawing" Target="../drawings/drawing2.xml"/>
</Relationships>
</file>

<file path=xl/worksheets/_rels/sheet16.xml.rels><?xml version="1.0" encoding="UTF-8"?>
<Relationships xmlns="http://schemas.openxmlformats.org/package/2006/relationships"><Relationship Id="rId1" Type="http://schemas.openxmlformats.org/officeDocument/2006/relationships/drawing" Target="../drawings/drawing3.xml"/>
</Relationships>
</file>

<file path=xl/worksheets/_rels/sheet29.xml.rels><?xml version="1.0" encoding="UTF-8"?>
<Relationships xmlns="http://schemas.openxmlformats.org/package/2006/relationships"><Relationship Id="rId1" Type="http://schemas.openxmlformats.org/officeDocument/2006/relationships/comments" Target="../comments29.xml"/><Relationship Id="rId2" Type="http://schemas.openxmlformats.org/officeDocument/2006/relationships/vmlDrawing" Target="../drawings/vmlDrawing1.vml"/>
</Relationships>
</file>

<file path=xl/worksheets/_rels/sheet30.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4.xml"/>
</Relationships>
</file>

<file path=xl/worksheets/_rels/sheet31.xml.rels><?xml version="1.0" encoding="UTF-8"?>
<Relationships xmlns="http://schemas.openxmlformats.org/package/2006/relationships"><Relationship Id="rId1" Type="http://schemas.openxmlformats.org/officeDocument/2006/relationships/table" Target="../tables/table3.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D19"/>
  <sheetViews>
    <sheetView showFormulas="false" showGridLines="true" showRowColHeaders="true" showZeros="true" rightToLeft="false" tabSelected="false" showOutlineSymbols="true" defaultGridColor="true" view="normal" topLeftCell="A7" colorId="64" zoomScale="100" zoomScaleNormal="100" zoomScalePageLayoutView="100" workbookViewId="0">
      <selection pane="topLeft" activeCell="A9" activeCellId="0" sqref="A9"/>
    </sheetView>
  </sheetViews>
  <sheetFormatPr defaultRowHeight="14.6" zeroHeight="false" outlineLevelRow="0" outlineLevelCol="0"/>
  <cols>
    <col collapsed="false" customWidth="true" hidden="false" outlineLevel="0" max="1" min="1" style="0" width="111.3"/>
    <col collapsed="false" customWidth="true" hidden="false" outlineLevel="0" max="2" min="2" style="0" width="33.16"/>
    <col collapsed="false" customWidth="true" hidden="false" outlineLevel="0" max="3" min="3" style="0" width="38.53"/>
    <col collapsed="false" customWidth="true" hidden="false" outlineLevel="0" max="4" min="4" style="0" width="13.38"/>
    <col collapsed="false" customWidth="true" hidden="false" outlineLevel="0" max="1025" min="5" style="0" width="8.75"/>
  </cols>
  <sheetData>
    <row r="1" customFormat="false" ht="14.6" hidden="false" customHeight="false" outlineLevel="0" collapsed="false">
      <c r="A1" s="0" t="s">
        <v>0</v>
      </c>
      <c r="B1" s="0" t="s">
        <v>1</v>
      </c>
      <c r="C1" s="0" t="s">
        <v>2</v>
      </c>
    </row>
    <row r="2" customFormat="false" ht="14.6" hidden="false" customHeight="false" outlineLevel="0" collapsed="false">
      <c r="A2" s="1" t="s">
        <v>3</v>
      </c>
      <c r="B2" s="0" t="s">
        <v>4</v>
      </c>
      <c r="C2" s="0" t="s">
        <v>5</v>
      </c>
    </row>
    <row r="4" customFormat="false" ht="14.6" hidden="false" customHeight="false" outlineLevel="0" collapsed="false">
      <c r="A4" s="2" t="s">
        <v>6</v>
      </c>
      <c r="B4" s="2" t="s">
        <v>7</v>
      </c>
      <c r="C4" s="2" t="s">
        <v>8</v>
      </c>
    </row>
    <row r="5" customFormat="false" ht="14.6" hidden="false" customHeight="false" outlineLevel="0" collapsed="false">
      <c r="A5" s="0" t="s">
        <v>9</v>
      </c>
    </row>
    <row r="6" customFormat="false" ht="14.6" hidden="false" customHeight="false" outlineLevel="0" collapsed="false">
      <c r="A6" s="0" t="s">
        <v>10</v>
      </c>
    </row>
    <row r="7" customFormat="false" ht="14.6" hidden="false" customHeight="false" outlineLevel="0" collapsed="false">
      <c r="A7" s="0" t="s">
        <v>11</v>
      </c>
    </row>
    <row r="8" customFormat="false" ht="14.6" hidden="false" customHeight="false" outlineLevel="0" collapsed="false">
      <c r="B8" s="0" t="s">
        <v>12</v>
      </c>
    </row>
    <row r="9" customFormat="false" ht="14.6" hidden="false" customHeight="false" outlineLevel="0" collapsed="false">
      <c r="B9" s="3" t="s">
        <v>13</v>
      </c>
      <c r="C9" s="3" t="s">
        <v>14</v>
      </c>
      <c r="D9" s="3" t="s">
        <v>15</v>
      </c>
    </row>
    <row r="10" customFormat="false" ht="14.6" hidden="false" customHeight="false" outlineLevel="0" collapsed="false">
      <c r="B10" s="4" t="s">
        <v>16</v>
      </c>
      <c r="C10" s="4" t="s">
        <v>17</v>
      </c>
      <c r="D10" s="4" t="s">
        <v>18</v>
      </c>
    </row>
    <row r="11" customFormat="false" ht="14.6" hidden="false" customHeight="false" outlineLevel="0" collapsed="false">
      <c r="B11" s="4" t="s">
        <v>19</v>
      </c>
      <c r="C11" s="4" t="s">
        <v>20</v>
      </c>
      <c r="D11" s="4" t="s">
        <v>21</v>
      </c>
    </row>
    <row r="12" customFormat="false" ht="14.6" hidden="false" customHeight="false" outlineLevel="0" collapsed="false">
      <c r="B12" s="4" t="s">
        <v>22</v>
      </c>
      <c r="C12" s="4"/>
      <c r="D12" s="4"/>
    </row>
    <row r="13" customFormat="false" ht="14.6" hidden="false" customHeight="false" outlineLevel="0" collapsed="false">
      <c r="B13" s="4" t="s">
        <v>23</v>
      </c>
      <c r="C13" s="4"/>
      <c r="D13" s="4"/>
    </row>
    <row r="14" customFormat="false" ht="14.6" hidden="false" customHeight="false" outlineLevel="0" collapsed="false">
      <c r="B14" s="4" t="s">
        <v>24</v>
      </c>
      <c r="C14" s="4"/>
      <c r="D14" s="4"/>
    </row>
    <row r="15" customFormat="false" ht="14.6" hidden="false" customHeight="false" outlineLevel="0" collapsed="false">
      <c r="A15" s="0" t="s">
        <v>25</v>
      </c>
    </row>
    <row r="16" customFormat="false" ht="14.6" hidden="false" customHeight="false" outlineLevel="0" collapsed="false">
      <c r="A16" s="0" t="s">
        <v>26</v>
      </c>
      <c r="B16" s="3" t="s">
        <v>27</v>
      </c>
    </row>
    <row r="17" customFormat="false" ht="14.6" hidden="false" customHeight="false" outlineLevel="0" collapsed="false">
      <c r="A17" s="5" t="s">
        <v>28</v>
      </c>
      <c r="B17" s="4" t="s">
        <v>29</v>
      </c>
    </row>
    <row r="18" customFormat="false" ht="14.6" hidden="false" customHeight="false" outlineLevel="0" collapsed="false">
      <c r="B18" s="4" t="s">
        <v>30</v>
      </c>
    </row>
    <row r="19" customFormat="false" ht="14.6" hidden="false" customHeight="false" outlineLevel="0" collapsed="false">
      <c r="A19" s="0" t="s">
        <v>31</v>
      </c>
      <c r="B19" s="4" t="s">
        <v>32</v>
      </c>
    </row>
  </sheetData>
  <hyperlinks>
    <hyperlink ref="A2" r:id="rId1" display="https://cbncnbccs.sharepoint.com/sites/bncdoc/fr/_layouts/15/search.aspx/siteall?q=continuite%20des%20affaires"/>
    <hyperlink ref="A17" r:id="rId2" display="https://wiki.bnc.ca/spaces/viewspace.action?key=EDC"/>
  </hyperlink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M42"/>
  <sheetViews>
    <sheetView showFormulas="false" showGridLines="true" showRowColHeaders="true" showZeros="true" rightToLeft="false" tabSelected="false" showOutlineSymbols="true" defaultGridColor="true" view="normal" topLeftCell="A4" colorId="64" zoomScale="85" zoomScaleNormal="85" zoomScalePageLayoutView="100" workbookViewId="0">
      <selection pane="topLeft" activeCell="K12" activeCellId="0" sqref="K12"/>
    </sheetView>
  </sheetViews>
  <sheetFormatPr defaultRowHeight="14.6" zeroHeight="false" outlineLevelRow="0" outlineLevelCol="0"/>
  <cols>
    <col collapsed="false" customWidth="true" hidden="false" outlineLevel="0" max="1" min="1" style="0" width="21.53"/>
    <col collapsed="false" customWidth="true" hidden="false" outlineLevel="0" max="2" min="2" style="0" width="17.3"/>
    <col collapsed="false" customWidth="true" hidden="false" outlineLevel="0" max="3" min="3" style="0" width="32.31"/>
    <col collapsed="false" customWidth="true" hidden="false" outlineLevel="0" max="4" min="4" style="0" width="33.53"/>
    <col collapsed="false" customWidth="true" hidden="false" outlineLevel="0" max="5" min="5" style="0" width="19.53"/>
    <col collapsed="false" customWidth="true" hidden="false" outlineLevel="0" max="6" min="6" style="0" width="14.84"/>
    <col collapsed="false" customWidth="true" hidden="false" outlineLevel="0" max="7" min="7" style="0" width="33.53"/>
    <col collapsed="false" customWidth="true" hidden="false" outlineLevel="0" max="9" min="8" style="0" width="2.84"/>
    <col collapsed="false" customWidth="true" hidden="false" outlineLevel="0" max="10" min="10" style="0" width="5.16"/>
    <col collapsed="false" customWidth="true" hidden="false" outlineLevel="0" max="1025" min="11" style="0" width="33.53"/>
  </cols>
  <sheetData>
    <row r="1" customFormat="false" ht="20.6" hidden="false" customHeight="true" outlineLevel="0" collapsed="false">
      <c r="A1" s="6" t="s">
        <v>33</v>
      </c>
      <c r="B1" s="6"/>
      <c r="C1" s="6"/>
      <c r="D1" s="6"/>
      <c r="E1" s="6"/>
      <c r="F1" s="6"/>
      <c r="G1" s="6"/>
      <c r="H1" s="6"/>
      <c r="I1" s="6"/>
      <c r="J1" s="6"/>
    </row>
    <row r="2" customFormat="false" ht="18.45" hidden="false" customHeight="true" outlineLevel="0" collapsed="false">
      <c r="A2" s="7" t="s">
        <v>34</v>
      </c>
      <c r="B2" s="7"/>
      <c r="C2" s="7"/>
      <c r="D2" s="7" t="s">
        <v>35</v>
      </c>
      <c r="E2" s="7"/>
      <c r="F2" s="7"/>
      <c r="G2" s="7"/>
      <c r="H2" s="7"/>
      <c r="I2" s="7"/>
      <c r="J2" s="7"/>
    </row>
    <row r="3" customFormat="false" ht="14.6" hidden="false" customHeight="false" outlineLevel="0" collapsed="false">
      <c r="A3" s="8"/>
      <c r="B3" s="8"/>
      <c r="C3" s="9"/>
      <c r="D3" s="9"/>
      <c r="E3" s="9"/>
      <c r="F3" s="9"/>
      <c r="G3" s="9"/>
      <c r="H3" s="10"/>
      <c r="I3" s="10"/>
      <c r="J3" s="11"/>
    </row>
    <row r="4" customFormat="false" ht="18.45" hidden="false" customHeight="true" outlineLevel="0" collapsed="false">
      <c r="A4" s="12" t="s">
        <v>36</v>
      </c>
      <c r="B4" s="12"/>
      <c r="C4" s="12"/>
      <c r="D4" s="12"/>
      <c r="E4" s="12"/>
      <c r="F4" s="12"/>
      <c r="G4" s="12"/>
      <c r="H4" s="12"/>
      <c r="I4" s="12"/>
      <c r="J4" s="8"/>
      <c r="K4" s="8"/>
      <c r="L4" s="8"/>
      <c r="M4" s="8"/>
    </row>
    <row r="5" customFormat="false" ht="18.45" hidden="false" customHeight="true" outlineLevel="0" collapsed="false">
      <c r="A5" s="13" t="s">
        <v>37</v>
      </c>
      <c r="B5" s="13"/>
      <c r="C5" s="13"/>
      <c r="D5" s="13"/>
      <c r="E5" s="13"/>
      <c r="F5" s="13"/>
      <c r="G5" s="13"/>
      <c r="H5" s="13"/>
      <c r="I5" s="14"/>
      <c r="J5" s="8"/>
      <c r="K5" s="8"/>
      <c r="L5" s="8"/>
      <c r="M5" s="8"/>
    </row>
    <row r="6" customFormat="false" ht="18.9" hidden="false" customHeight="true" outlineLevel="0" collapsed="false">
      <c r="A6" s="15" t="s">
        <v>38</v>
      </c>
      <c r="B6" s="15"/>
      <c r="C6" s="15"/>
      <c r="D6" s="15"/>
      <c r="E6" s="15"/>
      <c r="F6" s="15"/>
      <c r="G6" s="16"/>
      <c r="H6" s="17"/>
      <c r="I6" s="14"/>
      <c r="J6" s="8"/>
      <c r="K6" s="8"/>
      <c r="L6" s="8"/>
      <c r="M6" s="8"/>
    </row>
    <row r="7" customFormat="false" ht="16.3" hidden="false" customHeight="false" outlineLevel="0" collapsed="false">
      <c r="A7" s="18" t="s">
        <v>39</v>
      </c>
      <c r="B7" s="19" t="s">
        <v>40</v>
      </c>
      <c r="C7" s="19" t="s">
        <v>41</v>
      </c>
      <c r="D7" s="19" t="s">
        <v>42</v>
      </c>
      <c r="E7" s="19" t="s">
        <v>43</v>
      </c>
      <c r="F7" s="19" t="s">
        <v>44</v>
      </c>
      <c r="G7" s="16"/>
      <c r="H7" s="17"/>
      <c r="I7" s="14"/>
      <c r="J7" s="8"/>
      <c r="K7" s="8"/>
      <c r="L7" s="8"/>
      <c r="M7" s="8"/>
    </row>
    <row r="8" customFormat="false" ht="29.6" hidden="false" customHeight="true" outlineLevel="0" collapsed="false">
      <c r="A8" s="20" t="s">
        <v>45</v>
      </c>
      <c r="B8" s="20" t="s">
        <v>46</v>
      </c>
      <c r="C8" s="20" t="s">
        <v>45</v>
      </c>
      <c r="D8" s="21" t="s">
        <v>47</v>
      </c>
      <c r="E8" s="20" t="s">
        <v>48</v>
      </c>
      <c r="F8" s="22" t="s">
        <v>49</v>
      </c>
      <c r="G8" s="23"/>
      <c r="H8" s="24"/>
      <c r="I8" s="23"/>
      <c r="J8" s="8"/>
      <c r="K8" s="8"/>
      <c r="L8" s="8"/>
      <c r="M8" s="8"/>
    </row>
    <row r="9" customFormat="false" ht="15" hidden="false" customHeight="false" outlineLevel="0" collapsed="false">
      <c r="A9" s="20"/>
      <c r="B9" s="20"/>
      <c r="C9" s="20"/>
      <c r="D9" s="21" t="s">
        <v>50</v>
      </c>
      <c r="E9" s="20"/>
      <c r="F9" s="22" t="s">
        <v>51</v>
      </c>
      <c r="G9" s="25"/>
      <c r="H9" s="26"/>
      <c r="I9" s="25"/>
      <c r="J9" s="8"/>
      <c r="K9" s="8"/>
      <c r="L9" s="8"/>
      <c r="M9" s="8"/>
    </row>
    <row r="10" customFormat="false" ht="29.6" hidden="false" customHeight="false" outlineLevel="0" collapsed="false">
      <c r="A10" s="20"/>
      <c r="B10" s="20"/>
      <c r="C10" s="20"/>
      <c r="D10" s="21" t="s">
        <v>52</v>
      </c>
      <c r="E10" s="20"/>
      <c r="F10" s="22" t="s">
        <v>53</v>
      </c>
      <c r="G10" s="25"/>
      <c r="H10" s="26"/>
      <c r="I10" s="25"/>
      <c r="J10" s="8"/>
      <c r="K10" s="8"/>
      <c r="L10" s="8"/>
      <c r="M10" s="8"/>
    </row>
    <row r="11" customFormat="false" ht="29.6" hidden="false" customHeight="false" outlineLevel="0" collapsed="false">
      <c r="A11" s="20"/>
      <c r="B11" s="20"/>
      <c r="C11" s="20"/>
      <c r="D11" s="21" t="s">
        <v>54</v>
      </c>
      <c r="E11" s="20"/>
      <c r="F11" s="22" t="s">
        <v>55</v>
      </c>
      <c r="G11" s="25"/>
      <c r="H11" s="26"/>
      <c r="I11" s="25"/>
      <c r="J11" s="8"/>
      <c r="K11" s="8"/>
      <c r="L11" s="8"/>
      <c r="M11" s="8"/>
    </row>
    <row r="12" customFormat="false" ht="29.6" hidden="false" customHeight="false" outlineLevel="0" collapsed="false">
      <c r="A12" s="20"/>
      <c r="B12" s="20"/>
      <c r="C12" s="20"/>
      <c r="D12" s="21" t="s">
        <v>56</v>
      </c>
      <c r="E12" s="20"/>
      <c r="F12" s="22" t="s">
        <v>57</v>
      </c>
      <c r="G12" s="25"/>
      <c r="H12" s="26"/>
      <c r="I12" s="25"/>
      <c r="J12" s="8"/>
      <c r="K12" s="8"/>
      <c r="L12" s="8"/>
      <c r="M12" s="8"/>
    </row>
    <row r="13" customFormat="false" ht="15" hidden="false" customHeight="false" outlineLevel="0" collapsed="false">
      <c r="A13" s="27"/>
      <c r="B13" s="28"/>
      <c r="C13" s="29"/>
      <c r="D13" s="30"/>
      <c r="E13" s="30"/>
      <c r="F13" s="31" t="s">
        <v>58</v>
      </c>
      <c r="G13" s="32"/>
      <c r="H13" s="32"/>
      <c r="I13" s="32"/>
      <c r="J13" s="8"/>
      <c r="K13" s="8"/>
      <c r="L13" s="8"/>
      <c r="M13" s="8"/>
    </row>
    <row r="14" customFormat="false" ht="44.15" hidden="false" customHeight="true" outlineLevel="0" collapsed="false">
      <c r="A14" s="20" t="s">
        <v>59</v>
      </c>
      <c r="B14" s="20" t="s">
        <v>60</v>
      </c>
      <c r="C14" s="22"/>
      <c r="D14" s="21" t="s">
        <v>61</v>
      </c>
      <c r="E14" s="20" t="s">
        <v>62</v>
      </c>
      <c r="F14" s="22" t="s">
        <v>63</v>
      </c>
      <c r="G14" s="25"/>
      <c r="H14" s="26"/>
      <c r="I14" s="33" t="s">
        <v>64</v>
      </c>
      <c r="J14" s="8"/>
      <c r="K14" s="8"/>
      <c r="L14" s="8"/>
      <c r="M14" s="8"/>
    </row>
    <row r="15" customFormat="false" ht="29.6" hidden="false" customHeight="true" outlineLevel="0" collapsed="false">
      <c r="A15" s="20"/>
      <c r="B15" s="20"/>
      <c r="C15" s="34" t="s">
        <v>65</v>
      </c>
      <c r="D15" s="21" t="s">
        <v>66</v>
      </c>
      <c r="E15" s="20"/>
      <c r="F15" s="22" t="s">
        <v>67</v>
      </c>
      <c r="G15" s="25" t="s">
        <v>68</v>
      </c>
      <c r="H15" s="26"/>
      <c r="I15" s="35"/>
      <c r="J15" s="8"/>
      <c r="K15" s="8"/>
      <c r="L15" s="8"/>
      <c r="M15" s="8"/>
    </row>
    <row r="16" customFormat="false" ht="58.75" hidden="false" customHeight="false" outlineLevel="0" collapsed="false">
      <c r="A16" s="20"/>
      <c r="B16" s="20"/>
      <c r="C16" s="34"/>
      <c r="D16" s="21" t="s">
        <v>69</v>
      </c>
      <c r="E16" s="20"/>
      <c r="F16" s="22" t="s">
        <v>70</v>
      </c>
      <c r="G16" s="36"/>
      <c r="H16" s="26"/>
      <c r="I16" s="33" t="s">
        <v>64</v>
      </c>
      <c r="J16" s="8"/>
      <c r="K16" s="8"/>
      <c r="L16" s="8"/>
      <c r="M16" s="8"/>
    </row>
    <row r="17" customFormat="false" ht="15" hidden="false" customHeight="false" outlineLevel="0" collapsed="false">
      <c r="A17" s="20"/>
      <c r="B17" s="20"/>
      <c r="C17" s="22"/>
      <c r="D17" s="21" t="s">
        <v>71</v>
      </c>
      <c r="E17" s="20"/>
      <c r="F17" s="22" t="s">
        <v>72</v>
      </c>
      <c r="G17" s="36"/>
      <c r="H17" s="26"/>
      <c r="I17" s="33" t="s">
        <v>64</v>
      </c>
      <c r="J17" s="8"/>
      <c r="K17" s="8"/>
      <c r="L17" s="8"/>
      <c r="M17" s="8"/>
    </row>
    <row r="18" customFormat="false" ht="29.6" hidden="false" customHeight="false" outlineLevel="0" collapsed="false">
      <c r="A18" s="20"/>
      <c r="B18" s="20"/>
      <c r="C18" s="22" t="s">
        <v>73</v>
      </c>
      <c r="D18" s="21" t="s">
        <v>74</v>
      </c>
      <c r="E18" s="20"/>
      <c r="F18" s="22" t="s">
        <v>75</v>
      </c>
      <c r="G18" s="36"/>
      <c r="H18" s="26"/>
      <c r="I18" s="33" t="s">
        <v>64</v>
      </c>
      <c r="J18" s="8"/>
      <c r="K18" s="8"/>
      <c r="L18" s="8"/>
      <c r="M18" s="8"/>
    </row>
    <row r="19" customFormat="false" ht="29.6" hidden="false" customHeight="false" outlineLevel="0" collapsed="false">
      <c r="A19" s="20"/>
      <c r="B19" s="20"/>
      <c r="C19" s="22" t="s">
        <v>73</v>
      </c>
      <c r="D19" s="21" t="s">
        <v>76</v>
      </c>
      <c r="E19" s="20"/>
      <c r="F19" s="22" t="s">
        <v>77</v>
      </c>
      <c r="G19" s="25" t="s">
        <v>68</v>
      </c>
      <c r="H19" s="26"/>
      <c r="I19" s="35"/>
      <c r="J19" s="8"/>
      <c r="K19" s="8"/>
      <c r="L19" s="8"/>
      <c r="M19" s="8"/>
    </row>
    <row r="20" customFormat="false" ht="15" hidden="false" customHeight="false" outlineLevel="0" collapsed="false">
      <c r="A20" s="27"/>
      <c r="B20" s="28"/>
      <c r="C20" s="31"/>
      <c r="D20" s="30"/>
      <c r="E20" s="30"/>
      <c r="F20" s="31" t="s">
        <v>58</v>
      </c>
      <c r="G20" s="32"/>
      <c r="H20" s="32"/>
      <c r="I20" s="32"/>
      <c r="J20" s="8"/>
      <c r="K20" s="8"/>
      <c r="L20" s="8"/>
      <c r="M20" s="8"/>
    </row>
    <row r="21" customFormat="false" ht="29.6" hidden="false" customHeight="true" outlineLevel="0" collapsed="false">
      <c r="A21" s="37" t="s">
        <v>78</v>
      </c>
      <c r="B21" s="38" t="s">
        <v>79</v>
      </c>
      <c r="C21" s="37" t="s">
        <v>80</v>
      </c>
      <c r="D21" s="39" t="s">
        <v>81</v>
      </c>
      <c r="E21" s="37" t="s">
        <v>82</v>
      </c>
      <c r="F21" s="40" t="s">
        <v>83</v>
      </c>
      <c r="G21" s="25"/>
      <c r="H21" s="26" t="s">
        <v>68</v>
      </c>
      <c r="I21" s="35"/>
      <c r="J21" s="8"/>
      <c r="K21" s="8"/>
      <c r="L21" s="8"/>
      <c r="M21" s="8"/>
    </row>
    <row r="22" customFormat="false" ht="58.75" hidden="false" customHeight="false" outlineLevel="0" collapsed="false">
      <c r="A22" s="37"/>
      <c r="B22" s="38" t="s">
        <v>84</v>
      </c>
      <c r="C22" s="37"/>
      <c r="D22" s="39" t="s">
        <v>85</v>
      </c>
      <c r="E22" s="37"/>
      <c r="F22" s="40" t="s">
        <v>86</v>
      </c>
      <c r="G22" s="25" t="s">
        <v>87</v>
      </c>
      <c r="H22" s="41"/>
      <c r="I22" s="35"/>
      <c r="J22" s="8"/>
      <c r="K22" s="8"/>
      <c r="L22" s="8"/>
      <c r="M22" s="8"/>
    </row>
    <row r="23" customFormat="false" ht="44.15" hidden="false" customHeight="false" outlineLevel="0" collapsed="false">
      <c r="A23" s="37"/>
      <c r="B23" s="38" t="s">
        <v>88</v>
      </c>
      <c r="C23" s="37"/>
      <c r="D23" s="39" t="s">
        <v>89</v>
      </c>
      <c r="E23" s="37"/>
      <c r="F23" s="40" t="s">
        <v>90</v>
      </c>
      <c r="G23" s="25" t="s">
        <v>64</v>
      </c>
      <c r="H23" s="41"/>
      <c r="I23" s="35"/>
      <c r="J23" s="8"/>
      <c r="K23" s="8"/>
      <c r="L23" s="8"/>
      <c r="M23" s="8"/>
    </row>
    <row r="24" customFormat="false" ht="15" hidden="false" customHeight="false" outlineLevel="0" collapsed="false">
      <c r="A24" s="37"/>
      <c r="B24" s="42"/>
      <c r="C24" s="37"/>
      <c r="D24" s="39" t="s">
        <v>91</v>
      </c>
      <c r="E24" s="37"/>
      <c r="F24" s="40" t="s">
        <v>92</v>
      </c>
      <c r="G24" s="25" t="s">
        <v>87</v>
      </c>
      <c r="H24" s="41"/>
      <c r="I24" s="35"/>
      <c r="J24" s="8"/>
      <c r="K24" s="8"/>
      <c r="L24" s="8"/>
      <c r="M24" s="8"/>
    </row>
    <row r="25" customFormat="false" ht="44.15" hidden="false" customHeight="false" outlineLevel="0" collapsed="false">
      <c r="A25" s="37"/>
      <c r="B25" s="42"/>
      <c r="C25" s="38" t="s">
        <v>93</v>
      </c>
      <c r="D25" s="39" t="s">
        <v>94</v>
      </c>
      <c r="E25" s="37"/>
      <c r="F25" s="40" t="s">
        <v>93</v>
      </c>
      <c r="G25" s="25"/>
      <c r="H25" s="26" t="s">
        <v>68</v>
      </c>
      <c r="I25" s="35"/>
      <c r="J25" s="8"/>
      <c r="K25" s="8"/>
      <c r="L25" s="8"/>
      <c r="M25" s="8"/>
    </row>
    <row r="26" customFormat="false" ht="29.6" hidden="false" customHeight="false" outlineLevel="0" collapsed="false">
      <c r="A26" s="37"/>
      <c r="B26" s="42"/>
      <c r="C26" s="43" t="s">
        <v>95</v>
      </c>
      <c r="D26" s="39" t="s">
        <v>96</v>
      </c>
      <c r="E26" s="37"/>
      <c r="F26" s="40" t="s">
        <v>97</v>
      </c>
      <c r="G26" s="25"/>
      <c r="H26" s="41"/>
      <c r="I26" s="33" t="s">
        <v>64</v>
      </c>
      <c r="J26" s="8"/>
      <c r="K26" s="8"/>
      <c r="L26" s="8"/>
      <c r="M26" s="8"/>
    </row>
    <row r="27" customFormat="false" ht="29.6" hidden="false" customHeight="true" outlineLevel="0" collapsed="false">
      <c r="A27" s="37"/>
      <c r="B27" s="42"/>
      <c r="C27" s="44"/>
      <c r="D27" s="37" t="s">
        <v>98</v>
      </c>
      <c r="E27" s="37"/>
      <c r="F27" s="40" t="s">
        <v>99</v>
      </c>
      <c r="G27" s="25"/>
      <c r="H27" s="26" t="s">
        <v>68</v>
      </c>
      <c r="I27" s="35"/>
      <c r="J27" s="8"/>
      <c r="K27" s="8"/>
      <c r="L27" s="8"/>
      <c r="M27" s="8"/>
    </row>
    <row r="28" customFormat="false" ht="44.15" hidden="false" customHeight="false" outlineLevel="0" collapsed="false">
      <c r="A28" s="37"/>
      <c r="B28" s="42"/>
      <c r="C28" s="40"/>
      <c r="D28" s="37"/>
      <c r="E28" s="37"/>
      <c r="F28" s="40" t="s">
        <v>100</v>
      </c>
      <c r="G28" s="25"/>
      <c r="H28" s="26" t="s">
        <v>68</v>
      </c>
      <c r="I28" s="35"/>
      <c r="J28" s="8"/>
      <c r="K28" s="8"/>
      <c r="L28" s="8"/>
      <c r="M28" s="8"/>
    </row>
    <row r="29" customFormat="false" ht="58.75" hidden="false" customHeight="false" outlineLevel="0" collapsed="false">
      <c r="A29" s="37"/>
      <c r="B29" s="45"/>
      <c r="C29" s="40"/>
      <c r="D29" s="39" t="s">
        <v>101</v>
      </c>
      <c r="E29" s="37"/>
      <c r="F29" s="40" t="s">
        <v>102</v>
      </c>
      <c r="G29" s="25"/>
      <c r="H29" s="26" t="s">
        <v>68</v>
      </c>
      <c r="I29" s="35"/>
      <c r="J29" s="8"/>
      <c r="K29" s="8"/>
      <c r="L29" s="8"/>
      <c r="M29" s="8"/>
    </row>
    <row r="30" customFormat="false" ht="15" hidden="false" customHeight="false" outlineLevel="0" collapsed="false">
      <c r="A30" s="46"/>
      <c r="B30" s="47"/>
      <c r="C30" s="48"/>
      <c r="D30" s="30"/>
      <c r="E30" s="30"/>
      <c r="F30" s="31" t="s">
        <v>58</v>
      </c>
      <c r="G30" s="32"/>
      <c r="H30" s="32"/>
      <c r="I30" s="32"/>
      <c r="J30" s="8"/>
      <c r="K30" s="8"/>
      <c r="L30" s="8"/>
      <c r="M30" s="8"/>
    </row>
    <row r="31" customFormat="false" ht="44.15" hidden="false" customHeight="true" outlineLevel="0" collapsed="false">
      <c r="A31" s="49" t="s">
        <v>103</v>
      </c>
      <c r="B31" s="50" t="s">
        <v>104</v>
      </c>
      <c r="C31" s="49" t="s">
        <v>105</v>
      </c>
      <c r="D31" s="51"/>
      <c r="E31" s="51"/>
      <c r="F31" s="40" t="s">
        <v>106</v>
      </c>
      <c r="G31" s="25"/>
      <c r="H31" s="26" t="s">
        <v>68</v>
      </c>
      <c r="I31" s="35"/>
      <c r="J31" s="8"/>
      <c r="K31" s="8"/>
      <c r="L31" s="8"/>
      <c r="M31" s="8"/>
    </row>
    <row r="32" customFormat="false" ht="44.15" hidden="false" customHeight="false" outlineLevel="0" collapsed="false">
      <c r="A32" s="49"/>
      <c r="B32" s="50" t="s">
        <v>107</v>
      </c>
      <c r="C32" s="49"/>
      <c r="D32" s="51" t="s">
        <v>108</v>
      </c>
      <c r="E32" s="52"/>
      <c r="F32" s="22" t="s">
        <v>109</v>
      </c>
      <c r="G32" s="25" t="s">
        <v>68</v>
      </c>
      <c r="H32" s="26"/>
      <c r="I32" s="35"/>
      <c r="J32" s="8"/>
      <c r="K32" s="8"/>
      <c r="L32" s="8"/>
      <c r="M32" s="8"/>
    </row>
    <row r="33" customFormat="false" ht="58.75" hidden="false" customHeight="true" outlineLevel="0" collapsed="false">
      <c r="A33" s="49"/>
      <c r="B33" s="50" t="s">
        <v>110</v>
      </c>
      <c r="C33" s="49" t="s">
        <v>111</v>
      </c>
      <c r="D33" s="49" t="s">
        <v>112</v>
      </c>
      <c r="E33" s="52"/>
      <c r="F33" s="22" t="s">
        <v>113</v>
      </c>
      <c r="G33" s="25" t="s">
        <v>68</v>
      </c>
      <c r="H33" s="26"/>
      <c r="I33" s="35"/>
      <c r="J33" s="8"/>
      <c r="K33" s="8"/>
      <c r="L33" s="8"/>
      <c r="M33" s="8"/>
    </row>
    <row r="34" customFormat="false" ht="44.15" hidden="false" customHeight="false" outlineLevel="0" collapsed="false">
      <c r="A34" s="49"/>
      <c r="B34" s="53"/>
      <c r="C34" s="49"/>
      <c r="D34" s="49"/>
      <c r="E34" s="52"/>
      <c r="F34" s="22" t="s">
        <v>114</v>
      </c>
      <c r="G34" s="25" t="s">
        <v>68</v>
      </c>
      <c r="H34" s="26"/>
      <c r="I34" s="35"/>
      <c r="J34" s="8"/>
      <c r="K34" s="8"/>
      <c r="L34" s="8"/>
      <c r="M34" s="8"/>
    </row>
    <row r="35" customFormat="false" ht="29.6" hidden="false" customHeight="false" outlineLevel="0" collapsed="false">
      <c r="A35" s="49"/>
      <c r="B35" s="53"/>
      <c r="C35" s="49"/>
      <c r="D35" s="49"/>
      <c r="E35" s="51" t="s">
        <v>115</v>
      </c>
      <c r="F35" s="54" t="s">
        <v>116</v>
      </c>
      <c r="G35" s="25"/>
      <c r="H35" s="41"/>
      <c r="I35" s="33" t="s">
        <v>64</v>
      </c>
      <c r="J35" s="8"/>
      <c r="K35" s="8"/>
      <c r="L35" s="8"/>
      <c r="M35" s="8"/>
    </row>
    <row r="36" customFormat="false" ht="29.6" hidden="false" customHeight="false" outlineLevel="0" collapsed="false">
      <c r="A36" s="49"/>
      <c r="B36" s="53"/>
      <c r="C36" s="49"/>
      <c r="D36" s="51" t="s">
        <v>117</v>
      </c>
      <c r="E36" s="51"/>
      <c r="F36" s="40" t="s">
        <v>118</v>
      </c>
      <c r="G36" s="25"/>
      <c r="H36" s="26" t="s">
        <v>68</v>
      </c>
      <c r="I36" s="35"/>
      <c r="J36" s="8"/>
      <c r="K36" s="8"/>
      <c r="L36" s="8"/>
      <c r="M36" s="8"/>
    </row>
    <row r="37" customFormat="false" ht="29.6" hidden="false" customHeight="false" outlineLevel="0" collapsed="false">
      <c r="A37" s="49"/>
      <c r="B37" s="53"/>
      <c r="C37" s="38" t="s">
        <v>119</v>
      </c>
      <c r="D37" s="38" t="s">
        <v>120</v>
      </c>
      <c r="E37" s="55"/>
      <c r="F37" s="56" t="s">
        <v>119</v>
      </c>
      <c r="G37" s="25" t="s">
        <v>68</v>
      </c>
      <c r="H37" s="26"/>
      <c r="I37" s="35"/>
      <c r="J37" s="8"/>
      <c r="K37" s="8"/>
      <c r="L37" s="8"/>
      <c r="M37" s="8"/>
    </row>
    <row r="38" customFormat="false" ht="58.75" hidden="false" customHeight="false" outlineLevel="0" collapsed="false">
      <c r="A38" s="49"/>
      <c r="B38" s="53"/>
      <c r="C38" s="57" t="s">
        <v>121</v>
      </c>
      <c r="D38" s="58" t="s">
        <v>122</v>
      </c>
      <c r="E38" s="59"/>
      <c r="F38" s="59" t="s">
        <v>123</v>
      </c>
      <c r="G38" s="25" t="s">
        <v>68</v>
      </c>
      <c r="H38" s="26"/>
      <c r="I38" s="35"/>
      <c r="J38" s="8"/>
      <c r="K38" s="8"/>
      <c r="L38" s="8"/>
      <c r="M38" s="8"/>
    </row>
    <row r="39" customFormat="false" ht="29.6" hidden="false" customHeight="false" outlineLevel="0" collapsed="false">
      <c r="A39" s="49"/>
      <c r="B39" s="53"/>
      <c r="C39" s="44"/>
      <c r="D39" s="51" t="s">
        <v>124</v>
      </c>
      <c r="E39" s="58"/>
      <c r="F39" s="60" t="s">
        <v>125</v>
      </c>
      <c r="G39" s="25"/>
      <c r="H39" s="26" t="s">
        <v>68</v>
      </c>
      <c r="I39" s="35"/>
      <c r="J39" s="8"/>
      <c r="K39" s="8"/>
      <c r="L39" s="8"/>
      <c r="M39" s="8"/>
    </row>
    <row r="40" customFormat="false" ht="29.6" hidden="false" customHeight="false" outlineLevel="0" collapsed="false">
      <c r="A40" s="49"/>
      <c r="B40" s="53"/>
      <c r="C40" s="54" t="s">
        <v>126</v>
      </c>
      <c r="D40" s="51" t="s">
        <v>127</v>
      </c>
      <c r="E40" s="51"/>
      <c r="F40" s="54" t="s">
        <v>128</v>
      </c>
      <c r="G40" s="25"/>
      <c r="H40" s="26" t="s">
        <v>68</v>
      </c>
      <c r="I40" s="35"/>
      <c r="J40" s="8"/>
      <c r="K40" s="8"/>
      <c r="L40" s="8"/>
      <c r="M40" s="8"/>
    </row>
    <row r="41" customFormat="false" ht="15" hidden="false" customHeight="false" outlineLevel="0" collapsed="false">
      <c r="A41" s="49"/>
      <c r="B41" s="53"/>
      <c r="C41" s="61"/>
      <c r="D41" s="51" t="s">
        <v>129</v>
      </c>
      <c r="E41" s="52"/>
      <c r="F41" s="62" t="s">
        <v>130</v>
      </c>
      <c r="G41" s="36"/>
      <c r="H41" s="26"/>
      <c r="I41" s="33" t="s">
        <v>64</v>
      </c>
      <c r="J41" s="8"/>
      <c r="K41" s="8"/>
      <c r="L41" s="8"/>
      <c r="M41" s="8"/>
    </row>
    <row r="42" customFormat="false" ht="44.15" hidden="false" customHeight="false" outlineLevel="0" collapsed="false">
      <c r="A42" s="49"/>
      <c r="B42" s="63"/>
      <c r="C42" s="61"/>
      <c r="D42" s="51" t="s">
        <v>131</v>
      </c>
      <c r="E42" s="51"/>
      <c r="F42" s="54" t="s">
        <v>132</v>
      </c>
      <c r="G42" s="25"/>
      <c r="H42" s="26" t="s">
        <v>68</v>
      </c>
      <c r="I42" s="35"/>
      <c r="J42" s="8"/>
      <c r="K42" s="8"/>
      <c r="L42" s="8"/>
      <c r="M42" s="8"/>
    </row>
  </sheetData>
  <mergeCells count="22">
    <mergeCell ref="A1:J1"/>
    <mergeCell ref="A2:J2"/>
    <mergeCell ref="A4:I4"/>
    <mergeCell ref="A5:H5"/>
    <mergeCell ref="A6:F6"/>
    <mergeCell ref="A8:A12"/>
    <mergeCell ref="B8:B12"/>
    <mergeCell ref="C8:C12"/>
    <mergeCell ref="E8:E12"/>
    <mergeCell ref="A14:A19"/>
    <mergeCell ref="B14:B19"/>
    <mergeCell ref="E14:E19"/>
    <mergeCell ref="C15:C16"/>
    <mergeCell ref="A21:A29"/>
    <mergeCell ref="C21:C24"/>
    <mergeCell ref="E21:E29"/>
    <mergeCell ref="D27:D28"/>
    <mergeCell ref="A31:A42"/>
    <mergeCell ref="C31:C32"/>
    <mergeCell ref="C33:C36"/>
    <mergeCell ref="D33:D35"/>
    <mergeCell ref="C41:C42"/>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J1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D11" activeCellId="0" sqref="D11"/>
    </sheetView>
  </sheetViews>
  <sheetFormatPr defaultRowHeight="14.6" zeroHeight="false" outlineLevelRow="0" outlineLevelCol="0"/>
  <cols>
    <col collapsed="false" customWidth="true" hidden="false" outlineLevel="0" max="1" min="1" style="0" width="20.15"/>
    <col collapsed="false" customWidth="true" hidden="false" outlineLevel="0" max="2" min="2" style="0" width="26.46"/>
    <col collapsed="false" customWidth="true" hidden="false" outlineLevel="0" max="6" min="3" style="0" width="20.15"/>
    <col collapsed="false" customWidth="true" hidden="false" outlineLevel="0" max="7" min="7" style="0" width="5.38"/>
    <col collapsed="false" customWidth="true" hidden="false" outlineLevel="0" max="8" min="8" style="0" width="18.53"/>
    <col collapsed="false" customWidth="true" hidden="false" outlineLevel="0" max="9" min="9" style="0" width="9.15"/>
    <col collapsed="false" customWidth="true" hidden="false" outlineLevel="0" max="1025" min="10" style="0" width="20.15"/>
  </cols>
  <sheetData>
    <row r="1" customFormat="false" ht="15" hidden="false" customHeight="false" outlineLevel="0" collapsed="false"/>
    <row r="2" customFormat="false" ht="29.6" hidden="false" customHeight="false" outlineLevel="0" collapsed="false">
      <c r="H2" s="64" t="s">
        <v>133</v>
      </c>
      <c r="I2" s="65" t="s">
        <v>134</v>
      </c>
      <c r="J2" s="66" t="s">
        <v>135</v>
      </c>
    </row>
    <row r="3" customFormat="false" ht="29.6" hidden="false" customHeight="true" outlineLevel="0" collapsed="false">
      <c r="A3" s="20" t="s">
        <v>59</v>
      </c>
      <c r="B3" s="20" t="s">
        <v>60</v>
      </c>
      <c r="C3" s="20" t="s">
        <v>65</v>
      </c>
      <c r="D3" s="20" t="s">
        <v>136</v>
      </c>
      <c r="E3" s="20" t="s">
        <v>62</v>
      </c>
      <c r="F3" s="34" t="s">
        <v>63</v>
      </c>
      <c r="H3" s="67" t="s">
        <v>137</v>
      </c>
      <c r="I3" s="67"/>
      <c r="J3" s="67"/>
    </row>
    <row r="4" customFormat="false" ht="44.15" hidden="false" customHeight="false" outlineLevel="0" collapsed="false">
      <c r="A4" s="20"/>
      <c r="B4" s="20"/>
      <c r="C4" s="20"/>
      <c r="D4" s="21" t="s">
        <v>138</v>
      </c>
      <c r="E4" s="20"/>
      <c r="F4" s="22" t="s">
        <v>70</v>
      </c>
      <c r="H4" s="68" t="s">
        <v>139</v>
      </c>
      <c r="I4" s="69" t="s">
        <v>140</v>
      </c>
      <c r="J4" s="69" t="s">
        <v>141</v>
      </c>
    </row>
    <row r="5" customFormat="false" ht="15" hidden="false" customHeight="false" outlineLevel="0" collapsed="false">
      <c r="A5" s="20"/>
      <c r="B5" s="20"/>
      <c r="C5" s="20"/>
      <c r="D5" s="21" t="s">
        <v>71</v>
      </c>
      <c r="E5" s="20"/>
      <c r="F5" s="22" t="s">
        <v>72</v>
      </c>
      <c r="H5" s="68" t="s">
        <v>142</v>
      </c>
      <c r="I5" s="70" t="s">
        <v>140</v>
      </c>
      <c r="J5" s="70" t="s">
        <v>141</v>
      </c>
    </row>
    <row r="6" customFormat="false" ht="29.6" hidden="false" customHeight="false" outlineLevel="0" collapsed="false">
      <c r="A6" s="20"/>
      <c r="B6" s="20"/>
      <c r="C6" s="22" t="s">
        <v>73</v>
      </c>
      <c r="D6" s="21" t="s">
        <v>74</v>
      </c>
      <c r="E6" s="20"/>
      <c r="F6" s="22" t="s">
        <v>75</v>
      </c>
      <c r="H6" s="68" t="s">
        <v>143</v>
      </c>
      <c r="I6" s="69" t="s">
        <v>140</v>
      </c>
      <c r="J6" s="69" t="s">
        <v>141</v>
      </c>
    </row>
    <row r="7" customFormat="false" ht="29.6" hidden="false" customHeight="true" outlineLevel="0" collapsed="false">
      <c r="A7" s="49" t="s">
        <v>103</v>
      </c>
      <c r="B7" s="49" t="s">
        <v>104</v>
      </c>
      <c r="C7" s="71" t="s">
        <v>111</v>
      </c>
      <c r="D7" s="72" t="s">
        <v>112</v>
      </c>
      <c r="E7" s="72" t="s">
        <v>115</v>
      </c>
      <c r="F7" s="72" t="s">
        <v>116</v>
      </c>
      <c r="H7" s="68" t="s">
        <v>144</v>
      </c>
      <c r="I7" s="70" t="s">
        <v>140</v>
      </c>
      <c r="J7" s="70" t="s">
        <v>141</v>
      </c>
    </row>
    <row r="8" customFormat="false" ht="29.6" hidden="false" customHeight="false" outlineLevel="0" collapsed="false">
      <c r="A8" s="49"/>
      <c r="B8" s="49"/>
      <c r="C8" s="71"/>
      <c r="D8" s="72" t="s">
        <v>129</v>
      </c>
      <c r="E8" s="73"/>
      <c r="F8" s="74" t="s">
        <v>130</v>
      </c>
      <c r="H8" s="68" t="s">
        <v>145</v>
      </c>
      <c r="I8" s="69" t="s">
        <v>140</v>
      </c>
      <c r="J8" s="69" t="s">
        <v>141</v>
      </c>
    </row>
    <row r="9" customFormat="false" ht="29.6" hidden="false" customHeight="false" outlineLevel="0" collapsed="false">
      <c r="H9" s="68" t="s">
        <v>146</v>
      </c>
      <c r="I9" s="70" t="s">
        <v>140</v>
      </c>
      <c r="J9" s="70" t="s">
        <v>141</v>
      </c>
    </row>
    <row r="10" customFormat="false" ht="15" hidden="false" customHeight="false" outlineLevel="0" collapsed="false">
      <c r="H10" s="68" t="s">
        <v>147</v>
      </c>
      <c r="I10" s="69" t="s">
        <v>148</v>
      </c>
      <c r="J10" s="69" t="s">
        <v>149</v>
      </c>
    </row>
    <row r="11" customFormat="false" ht="29.6" hidden="false" customHeight="false" outlineLevel="0" collapsed="false">
      <c r="H11" s="68" t="s">
        <v>150</v>
      </c>
      <c r="I11" s="70" t="s">
        <v>140</v>
      </c>
      <c r="J11" s="70" t="s">
        <v>141</v>
      </c>
    </row>
    <row r="12" customFormat="false" ht="29.6" hidden="false" customHeight="false" outlineLevel="0" collapsed="false">
      <c r="H12" s="68" t="s">
        <v>151</v>
      </c>
      <c r="I12" s="69" t="s">
        <v>148</v>
      </c>
      <c r="J12" s="69" t="s">
        <v>149</v>
      </c>
    </row>
    <row r="13" customFormat="false" ht="15" hidden="false" customHeight="true" outlineLevel="0" collapsed="false">
      <c r="H13" s="75" t="s">
        <v>152</v>
      </c>
      <c r="I13" s="75"/>
      <c r="J13" s="75"/>
    </row>
    <row r="14" customFormat="false" ht="15" hidden="false" customHeight="false" outlineLevel="0" collapsed="false">
      <c r="H14" s="76" t="s">
        <v>153</v>
      </c>
      <c r="I14" s="77" t="s">
        <v>140</v>
      </c>
      <c r="J14" s="77" t="s">
        <v>141</v>
      </c>
    </row>
    <row r="15" customFormat="false" ht="37.75" hidden="false" customHeight="false" outlineLevel="0" collapsed="false">
      <c r="H15" s="78" t="s">
        <v>154</v>
      </c>
      <c r="I15" s="79" t="s">
        <v>140</v>
      </c>
      <c r="J15" s="79" t="s">
        <v>141</v>
      </c>
    </row>
    <row r="16" customFormat="false" ht="25.3" hidden="false" customHeight="false" outlineLevel="0" collapsed="false">
      <c r="H16" s="78" t="s">
        <v>155</v>
      </c>
      <c r="I16" s="77" t="s">
        <v>140</v>
      </c>
      <c r="J16" s="77" t="s">
        <v>141</v>
      </c>
    </row>
    <row r="17" customFormat="false" ht="25.3" hidden="false" customHeight="false" outlineLevel="0" collapsed="false">
      <c r="H17" s="78" t="s">
        <v>156</v>
      </c>
      <c r="I17" s="79" t="s">
        <v>148</v>
      </c>
      <c r="J17" s="79" t="s">
        <v>157</v>
      </c>
    </row>
    <row r="18" customFormat="false" ht="25.3" hidden="false" customHeight="false" outlineLevel="0" collapsed="false">
      <c r="H18" s="78" t="s">
        <v>158</v>
      </c>
      <c r="I18" s="77" t="s">
        <v>148</v>
      </c>
      <c r="J18" s="77" t="s">
        <v>157</v>
      </c>
    </row>
  </sheetData>
  <mergeCells count="8">
    <mergeCell ref="A3:A6"/>
    <mergeCell ref="B3:B6"/>
    <mergeCell ref="C3:C5"/>
    <mergeCell ref="E3:E6"/>
    <mergeCell ref="H3:J3"/>
    <mergeCell ref="A7:A8"/>
    <mergeCell ref="B7:B8"/>
    <mergeCell ref="H13:J1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D60"/>
  <sheetViews>
    <sheetView showFormulas="false" showGridLines="true" showRowColHeaders="true" showZeros="true" rightToLeft="false" tabSelected="true" showOutlineSymbols="true" defaultGridColor="true" view="normal" topLeftCell="A1" colorId="64" zoomScale="85" zoomScaleNormal="85" zoomScalePageLayoutView="100" workbookViewId="0">
      <selection pane="topLeft" activeCell="F16" activeCellId="0" sqref="F16"/>
    </sheetView>
  </sheetViews>
  <sheetFormatPr defaultRowHeight="13.8" zeroHeight="false" outlineLevelRow="0" outlineLevelCol="0"/>
  <cols>
    <col collapsed="false" customWidth="true" hidden="false" outlineLevel="0" max="2" min="1" style="80" width="41.24"/>
    <col collapsed="false" customWidth="true" hidden="false" outlineLevel="0" max="3" min="3" style="0" width="56.02"/>
    <col collapsed="false" customWidth="true" hidden="false" outlineLevel="0" max="1025" min="4" style="0" width="41.24"/>
  </cols>
  <sheetData>
    <row r="1" customFormat="false" ht="13.8" hidden="false" customHeight="false" outlineLevel="0" collapsed="false">
      <c r="A1" s="80" t="s">
        <v>159</v>
      </c>
      <c r="B1" s="80" t="s">
        <v>160</v>
      </c>
    </row>
    <row r="2" customFormat="false" ht="13.8" hidden="false" customHeight="false" outlineLevel="0" collapsed="false">
      <c r="A2" s="81" t="s">
        <v>161</v>
      </c>
      <c r="B2" s="80" t="s">
        <v>162</v>
      </c>
    </row>
    <row r="3" customFormat="false" ht="13.8" hidden="false" customHeight="false" outlineLevel="0" collapsed="false">
      <c r="B3" s="80" t="s">
        <v>163</v>
      </c>
    </row>
    <row r="4" customFormat="false" ht="13.8" hidden="false" customHeight="false" outlineLevel="0" collapsed="false">
      <c r="A4" s="80" t="s">
        <v>164</v>
      </c>
      <c r="B4" s="80" t="s">
        <v>165</v>
      </c>
    </row>
    <row r="7" customFormat="false" ht="17.35" hidden="false" customHeight="false" outlineLevel="0" collapsed="false">
      <c r="A7" s="82" t="s">
        <v>166</v>
      </c>
      <c r="B7" s="82" t="s">
        <v>167</v>
      </c>
      <c r="C7" s="82" t="s">
        <v>168</v>
      </c>
    </row>
    <row r="8" customFormat="false" ht="13.8" hidden="false" customHeight="false" outlineLevel="0" collapsed="false">
      <c r="A8" s="83" t="s">
        <v>45</v>
      </c>
      <c r="B8" s="84" t="s">
        <v>169</v>
      </c>
      <c r="C8" s="84" t="s">
        <v>170</v>
      </c>
      <c r="D8" s="0" t="s">
        <v>171</v>
      </c>
    </row>
    <row r="9" customFormat="false" ht="13.8" hidden="false" customHeight="false" outlineLevel="0" collapsed="false">
      <c r="A9" s="83"/>
      <c r="B9" s="84" t="s">
        <v>172</v>
      </c>
      <c r="C9" s="84" t="s">
        <v>173</v>
      </c>
    </row>
    <row r="10" customFormat="false" ht="13.8" hidden="false" customHeight="false" outlineLevel="0" collapsed="false">
      <c r="A10" s="83"/>
      <c r="B10" s="84" t="s">
        <v>174</v>
      </c>
      <c r="C10" s="84" t="s">
        <v>175</v>
      </c>
      <c r="D10" s="85" t="s">
        <v>176</v>
      </c>
    </row>
    <row r="11" customFormat="false" ht="13.8" hidden="false" customHeight="false" outlineLevel="0" collapsed="false">
      <c r="A11" s="83"/>
      <c r="B11" s="84" t="s">
        <v>177</v>
      </c>
      <c r="C11" s="84" t="s">
        <v>178</v>
      </c>
      <c r="D11" s="85" t="s">
        <v>179</v>
      </c>
    </row>
    <row r="12" customFormat="false" ht="13.8" hidden="false" customHeight="false" outlineLevel="0" collapsed="false">
      <c r="A12" s="83"/>
      <c r="B12" s="84"/>
      <c r="C12" s="84" t="s">
        <v>180</v>
      </c>
      <c r="D12" s="85" t="s">
        <v>181</v>
      </c>
    </row>
    <row r="13" customFormat="false" ht="13.8" hidden="false" customHeight="false" outlineLevel="0" collapsed="false">
      <c r="A13" s="83"/>
      <c r="B13" s="84"/>
      <c r="C13" s="84" t="s">
        <v>182</v>
      </c>
      <c r="D13" s="85" t="s">
        <v>183</v>
      </c>
    </row>
    <row r="14" customFormat="false" ht="13.8" hidden="false" customHeight="false" outlineLevel="0" collapsed="false">
      <c r="A14" s="83"/>
      <c r="B14" s="84"/>
      <c r="C14" s="84" t="s">
        <v>184</v>
      </c>
      <c r="D14" s="85" t="s">
        <v>185</v>
      </c>
    </row>
    <row r="15" customFormat="false" ht="13.8" hidden="false" customHeight="false" outlineLevel="0" collapsed="false">
      <c r="A15" s="83"/>
      <c r="B15" s="84"/>
      <c r="C15" s="84"/>
      <c r="D15" s="85" t="s">
        <v>186</v>
      </c>
    </row>
    <row r="16" customFormat="false" ht="13.8" hidden="false" customHeight="false" outlineLevel="0" collapsed="false">
      <c r="A16" s="83"/>
      <c r="B16" s="84"/>
      <c r="C16" s="84"/>
    </row>
    <row r="17" customFormat="false" ht="13.8" hidden="false" customHeight="false" outlineLevel="0" collapsed="false">
      <c r="A17" s="86" t="s">
        <v>187</v>
      </c>
      <c r="B17" s="87" t="s">
        <v>188</v>
      </c>
      <c r="C17" s="87" t="s">
        <v>178</v>
      </c>
    </row>
    <row r="18" customFormat="false" ht="13.8" hidden="false" customHeight="false" outlineLevel="0" collapsed="false">
      <c r="A18" s="86"/>
      <c r="B18" s="87" t="s">
        <v>189</v>
      </c>
      <c r="C18" s="87" t="s">
        <v>190</v>
      </c>
    </row>
    <row r="19" customFormat="false" ht="13.8" hidden="false" customHeight="false" outlineLevel="0" collapsed="false">
      <c r="A19" s="86"/>
      <c r="B19" s="87" t="s">
        <v>191</v>
      </c>
      <c r="C19" s="87" t="s">
        <v>192</v>
      </c>
      <c r="D19" s="85" t="s">
        <v>193</v>
      </c>
    </row>
    <row r="20" customFormat="false" ht="13.8" hidden="false" customHeight="false" outlineLevel="0" collapsed="false">
      <c r="A20" s="86"/>
      <c r="B20" s="87" t="s">
        <v>194</v>
      </c>
      <c r="C20" s="87" t="s">
        <v>195</v>
      </c>
      <c r="D20" s="85" t="s">
        <v>196</v>
      </c>
    </row>
    <row r="21" customFormat="false" ht="13.8" hidden="false" customHeight="false" outlineLevel="0" collapsed="false">
      <c r="A21" s="86"/>
      <c r="B21" s="87"/>
      <c r="C21" s="87" t="s">
        <v>182</v>
      </c>
      <c r="D21" s="85" t="s">
        <v>197</v>
      </c>
    </row>
    <row r="22" customFormat="false" ht="13.8" hidden="false" customHeight="false" outlineLevel="0" collapsed="false">
      <c r="A22" s="86"/>
      <c r="B22" s="87"/>
      <c r="C22" s="87" t="s">
        <v>198</v>
      </c>
      <c r="D22" s="0" t="s">
        <v>199</v>
      </c>
    </row>
    <row r="23" customFormat="false" ht="13.8" hidden="false" customHeight="false" outlineLevel="0" collapsed="false">
      <c r="A23" s="86"/>
      <c r="B23" s="87"/>
      <c r="C23" s="87" t="s">
        <v>200</v>
      </c>
    </row>
    <row r="24" customFormat="false" ht="13.8" hidden="false" customHeight="false" outlineLevel="0" collapsed="false">
      <c r="A24" s="86"/>
      <c r="B24" s="87"/>
      <c r="C24" s="87" t="s">
        <v>184</v>
      </c>
    </row>
    <row r="25" customFormat="false" ht="13.8" hidden="false" customHeight="false" outlineLevel="0" collapsed="false">
      <c r="A25" s="86"/>
      <c r="B25" s="87"/>
      <c r="C25" s="87"/>
    </row>
    <row r="26" customFormat="false" ht="13.8" hidden="false" customHeight="false" outlineLevel="0" collapsed="false">
      <c r="A26" s="86"/>
      <c r="B26" s="87"/>
      <c r="C26" s="87"/>
    </row>
    <row r="27" customFormat="false" ht="13.8" hidden="false" customHeight="false" outlineLevel="0" collapsed="false">
      <c r="A27" s="86"/>
      <c r="B27" s="87"/>
      <c r="C27" s="87"/>
    </row>
    <row r="28" customFormat="false" ht="13.8" hidden="false" customHeight="false" outlineLevel="0" collapsed="false">
      <c r="A28" s="86"/>
      <c r="B28" s="87"/>
      <c r="C28" s="87"/>
    </row>
    <row r="29" customFormat="false" ht="13.8" hidden="false" customHeight="false" outlineLevel="0" collapsed="false">
      <c r="A29" s="88" t="s">
        <v>78</v>
      </c>
      <c r="B29" s="84" t="s">
        <v>201</v>
      </c>
      <c r="C29" s="84" t="s">
        <v>202</v>
      </c>
      <c r="D29" s="0" t="s">
        <v>203</v>
      </c>
    </row>
    <row r="30" customFormat="false" ht="13.8" hidden="false" customHeight="false" outlineLevel="0" collapsed="false">
      <c r="A30" s="88"/>
      <c r="B30" s="84"/>
      <c r="C30" s="84" t="s">
        <v>204</v>
      </c>
      <c r="D30" s="85" t="s">
        <v>205</v>
      </c>
    </row>
    <row r="31" customFormat="false" ht="13.8" hidden="false" customHeight="false" outlineLevel="0" collapsed="false">
      <c r="A31" s="88"/>
      <c r="B31" s="84"/>
      <c r="C31" s="84" t="s">
        <v>206</v>
      </c>
      <c r="D31" s="85" t="s">
        <v>207</v>
      </c>
    </row>
    <row r="32" customFormat="false" ht="13.8" hidden="false" customHeight="false" outlineLevel="0" collapsed="false">
      <c r="A32" s="88"/>
      <c r="B32" s="84"/>
      <c r="C32" s="84" t="s">
        <v>208</v>
      </c>
      <c r="D32" s="85" t="s">
        <v>209</v>
      </c>
    </row>
    <row r="33" customFormat="false" ht="13.8" hidden="false" customHeight="false" outlineLevel="0" collapsed="false">
      <c r="A33" s="88"/>
      <c r="B33" s="84"/>
      <c r="C33" s="84" t="s">
        <v>210</v>
      </c>
      <c r="D33" s="85" t="s">
        <v>211</v>
      </c>
    </row>
    <row r="34" customFormat="false" ht="13.8" hidden="false" customHeight="false" outlineLevel="0" collapsed="false">
      <c r="A34" s="88"/>
      <c r="B34" s="84"/>
      <c r="C34" s="84" t="s">
        <v>212</v>
      </c>
      <c r="D34" s="85" t="s">
        <v>213</v>
      </c>
    </row>
    <row r="35" customFormat="false" ht="13.8" hidden="false" customHeight="false" outlineLevel="0" collapsed="false">
      <c r="A35" s="88"/>
      <c r="B35" s="84"/>
      <c r="C35" s="84" t="s">
        <v>214</v>
      </c>
      <c r="D35" s="85" t="s">
        <v>215</v>
      </c>
    </row>
    <row r="36" customFormat="false" ht="13.8" hidden="false" customHeight="false" outlineLevel="0" collapsed="false">
      <c r="A36" s="88"/>
      <c r="B36" s="84"/>
      <c r="C36" s="84" t="s">
        <v>216</v>
      </c>
      <c r="D36" s="85" t="s">
        <v>217</v>
      </c>
    </row>
    <row r="37" customFormat="false" ht="13.8" hidden="false" customHeight="false" outlineLevel="0" collapsed="false">
      <c r="A37" s="88"/>
      <c r="B37" s="84"/>
      <c r="C37" s="84" t="s">
        <v>205</v>
      </c>
      <c r="D37" s="0" t="s">
        <v>218</v>
      </c>
    </row>
    <row r="38" customFormat="false" ht="13.8" hidden="false" customHeight="false" outlineLevel="0" collapsed="false">
      <c r="A38" s="88"/>
      <c r="B38" s="84"/>
      <c r="C38" s="84" t="s">
        <v>219</v>
      </c>
    </row>
    <row r="39" customFormat="false" ht="13.8" hidden="false" customHeight="false" outlineLevel="0" collapsed="false">
      <c r="A39" s="88"/>
      <c r="B39" s="84"/>
      <c r="C39" s="84" t="s">
        <v>220</v>
      </c>
    </row>
    <row r="40" customFormat="false" ht="13.8" hidden="false" customHeight="false" outlineLevel="0" collapsed="false">
      <c r="A40" s="88"/>
      <c r="B40" s="84"/>
      <c r="C40" s="84" t="s">
        <v>221</v>
      </c>
    </row>
    <row r="41" customFormat="false" ht="13.8" hidden="false" customHeight="false" outlineLevel="0" collapsed="false">
      <c r="A41" s="88"/>
      <c r="B41" s="84"/>
      <c r="C41" s="84" t="s">
        <v>222</v>
      </c>
    </row>
    <row r="42" customFormat="false" ht="13.8" hidden="false" customHeight="false" outlineLevel="0" collapsed="false">
      <c r="A42" s="88"/>
      <c r="B42" s="84"/>
      <c r="C42" s="84" t="s">
        <v>223</v>
      </c>
    </row>
    <row r="43" customFormat="false" ht="13.8" hidden="false" customHeight="false" outlineLevel="0" collapsed="false">
      <c r="A43" s="86" t="s">
        <v>224</v>
      </c>
      <c r="B43" s="87" t="s">
        <v>225</v>
      </c>
      <c r="C43" s="87" t="s">
        <v>226</v>
      </c>
    </row>
    <row r="44" customFormat="false" ht="13.8" hidden="false" customHeight="false" outlineLevel="0" collapsed="false">
      <c r="A44" s="86"/>
      <c r="B44" s="87" t="s">
        <v>227</v>
      </c>
      <c r="C44" s="87" t="s">
        <v>228</v>
      </c>
    </row>
    <row r="45" customFormat="false" ht="27" hidden="false" customHeight="false" outlineLevel="0" collapsed="false">
      <c r="A45" s="86"/>
      <c r="B45" s="89" t="s">
        <v>229</v>
      </c>
      <c r="C45" s="87" t="s">
        <v>230</v>
      </c>
    </row>
    <row r="46" customFormat="false" ht="13.8" hidden="false" customHeight="false" outlineLevel="0" collapsed="false">
      <c r="A46" s="86"/>
      <c r="B46" s="87" t="s">
        <v>231</v>
      </c>
      <c r="C46" s="87" t="s">
        <v>232</v>
      </c>
    </row>
    <row r="47" customFormat="false" ht="13.8" hidden="false" customHeight="false" outlineLevel="0" collapsed="false">
      <c r="A47" s="86"/>
      <c r="B47" s="87" t="s">
        <v>233</v>
      </c>
      <c r="C47" s="87" t="s">
        <v>234</v>
      </c>
    </row>
    <row r="48" customFormat="false" ht="13.8" hidden="false" customHeight="false" outlineLevel="0" collapsed="false">
      <c r="A48" s="86"/>
      <c r="B48" s="87" t="s">
        <v>235</v>
      </c>
      <c r="C48" s="87"/>
    </row>
    <row r="49" customFormat="false" ht="13.8" hidden="false" customHeight="false" outlineLevel="0" collapsed="false">
      <c r="A49" s="86"/>
      <c r="B49" s="87" t="s">
        <v>236</v>
      </c>
      <c r="C49" s="87"/>
    </row>
    <row r="50" customFormat="false" ht="13.8" hidden="false" customHeight="false" outlineLevel="0" collapsed="false">
      <c r="A50" s="86"/>
      <c r="B50" s="87" t="s">
        <v>237</v>
      </c>
      <c r="C50" s="87"/>
    </row>
    <row r="51" customFormat="false" ht="13.8" hidden="false" customHeight="false" outlineLevel="0" collapsed="false">
      <c r="A51" s="86"/>
      <c r="B51" s="87" t="s">
        <v>238</v>
      </c>
      <c r="C51" s="87"/>
    </row>
    <row r="52" customFormat="false" ht="13.8" hidden="false" customHeight="false" outlineLevel="0" collapsed="false">
      <c r="A52" s="86"/>
      <c r="B52" s="87" t="s">
        <v>239</v>
      </c>
      <c r="C52" s="87"/>
    </row>
    <row r="53" customFormat="false" ht="13.8" hidden="false" customHeight="false" outlineLevel="0" collapsed="false">
      <c r="A53" s="86"/>
      <c r="B53" s="87" t="s">
        <v>240</v>
      </c>
      <c r="C53" s="87"/>
    </row>
    <row r="54" customFormat="false" ht="13.8" hidden="false" customHeight="false" outlineLevel="0" collapsed="false">
      <c r="A54" s="86"/>
      <c r="B54" s="87" t="s">
        <v>241</v>
      </c>
      <c r="C54" s="87"/>
    </row>
    <row r="55" customFormat="false" ht="13.8" hidden="false" customHeight="false" outlineLevel="0" collapsed="false">
      <c r="A55" s="86"/>
      <c r="B55" s="87"/>
      <c r="C55" s="87"/>
    </row>
    <row r="56" customFormat="false" ht="13.8" hidden="false" customHeight="false" outlineLevel="0" collapsed="false">
      <c r="A56" s="86"/>
      <c r="B56" s="87"/>
      <c r="C56" s="87"/>
    </row>
    <row r="57" customFormat="false" ht="13.8" hidden="false" customHeight="false" outlineLevel="0" collapsed="false">
      <c r="A57" s="86"/>
      <c r="B57" s="87"/>
      <c r="C57" s="87"/>
    </row>
    <row r="58" customFormat="false" ht="13.8" hidden="false" customHeight="false" outlineLevel="0" collapsed="false">
      <c r="A58" s="86"/>
      <c r="B58" s="87"/>
      <c r="C58" s="87"/>
    </row>
    <row r="59" customFormat="false" ht="13.8" hidden="false" customHeight="false" outlineLevel="0" collapsed="false">
      <c r="A59" s="86"/>
      <c r="B59" s="87"/>
      <c r="C59" s="87"/>
    </row>
    <row r="60" customFormat="false" ht="13.8" hidden="false" customHeight="false" outlineLevel="0" collapsed="false">
      <c r="B60" s="87"/>
    </row>
  </sheetData>
  <mergeCells count="5">
    <mergeCell ref="A8:A16"/>
    <mergeCell ref="A17:A28"/>
    <mergeCell ref="A29:A42"/>
    <mergeCell ref="A43:A53"/>
    <mergeCell ref="A54:A59"/>
  </mergeCells>
  <hyperlinks>
    <hyperlink ref="A2" r:id="rId1" display="Member.Testing@lch.com"/>
    <hyperlink ref="D10" r:id="rId2" display="FDC: Financial data Centre"/>
    <hyperlink ref="D11" r:id="rId3" display="GestionClient"/>
    <hyperlink ref="D12" r:id="rId4" display="Prêt du SAGE"/>
    <hyperlink ref="D13" r:id="rId5" display="Rentabilité Client"/>
    <hyperlink ref="D14" r:id="rId6" display="UCC: Unified Corporate Client"/>
    <hyperlink ref="D15" r:id="rId7" display="Centre Info - FDS Financement des Sociétés /Conso. Bancaires"/>
    <hyperlink ref="D19" r:id="rId8" display="Risk Metrics"/>
    <hyperlink ref="D20" r:id="rId9" display="OSFI &amp; Syndication DB"/>
    <hyperlink ref="D21" r:id="rId10" display="RFDA Client"/>
    <hyperlink ref="D30" r:id="rId11" display="CBID platform"/>
    <hyperlink ref="D31" r:id="rId12" display="GL WIN"/>
    <hyperlink ref="D32" r:id="rId13" display="PREBON"/>
    <hyperlink ref="D33" r:id="rId14" display="API BTA-(Shorcan)"/>
    <hyperlink ref="D34" r:id="rId15" display="Shorcan platform"/>
    <hyperlink ref="D35" r:id="rId16" display="GFI CreditMatch"/>
    <hyperlink ref="D36" r:id="rId17" display="TradeWest - LB Monitor"/>
  </hyperlink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tabColor rgb="FFADB9CA"/>
    <pageSetUpPr fitToPage="false"/>
  </sheetPr>
  <dimension ref="A1:D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7" activeCellId="0" sqref="C27"/>
    </sheetView>
  </sheetViews>
  <sheetFormatPr defaultRowHeight="14.6" zeroHeight="false" outlineLevelRow="0" outlineLevelCol="0"/>
  <cols>
    <col collapsed="false" customWidth="true" hidden="false" outlineLevel="0" max="1" min="1" style="0" width="24.15"/>
    <col collapsed="false" customWidth="true" hidden="false" outlineLevel="0" max="2" min="2" style="0" width="51.53"/>
    <col collapsed="false" customWidth="true" hidden="false" outlineLevel="0" max="3" min="3" style="0" width="109.3"/>
    <col collapsed="false" customWidth="true" hidden="false" outlineLevel="0" max="4" min="4" style="0" width="41.15"/>
    <col collapsed="false" customWidth="true" hidden="false" outlineLevel="0" max="1025" min="5" style="0" width="8.75"/>
  </cols>
  <sheetData>
    <row r="1" customFormat="false" ht="14.6" hidden="false" customHeight="false" outlineLevel="0" collapsed="false">
      <c r="A1" s="0" t="s">
        <v>242</v>
      </c>
      <c r="B1" s="0" t="s">
        <v>243</v>
      </c>
    </row>
    <row r="2" customFormat="false" ht="14.6" hidden="false" customHeight="false" outlineLevel="0" collapsed="false">
      <c r="A2" s="0" t="s">
        <v>244</v>
      </c>
      <c r="B2" s="0" t="s">
        <v>245</v>
      </c>
      <c r="C2" s="0" t="s">
        <v>246</v>
      </c>
    </row>
    <row r="3" customFormat="false" ht="14.6" hidden="false" customHeight="false" outlineLevel="0" collapsed="false">
      <c r="B3" s="0" t="s">
        <v>247</v>
      </c>
      <c r="C3" s="0" t="s">
        <v>248</v>
      </c>
    </row>
    <row r="4" customFormat="false" ht="14.6" hidden="false" customHeight="false" outlineLevel="0" collapsed="false">
      <c r="C4" s="0" t="s">
        <v>249</v>
      </c>
    </row>
    <row r="5" customFormat="false" ht="14.6" hidden="false" customHeight="false" outlineLevel="0" collapsed="false">
      <c r="A5" s="90" t="s">
        <v>250</v>
      </c>
      <c r="B5" s="90" t="s">
        <v>251</v>
      </c>
      <c r="C5" s="0" t="s">
        <v>252</v>
      </c>
    </row>
    <row r="6" customFormat="false" ht="14.6" hidden="false" customHeight="false" outlineLevel="0" collapsed="false">
      <c r="B6" s="90" t="s">
        <v>253</v>
      </c>
      <c r="C6" s="0" t="s">
        <v>254</v>
      </c>
      <c r="D6" s="0" t="s">
        <v>255</v>
      </c>
    </row>
    <row r="7" customFormat="false" ht="14.6" hidden="false" customHeight="false" outlineLevel="0" collapsed="false">
      <c r="B7" s="90" t="s">
        <v>256</v>
      </c>
      <c r="C7" s="90" t="s">
        <v>257</v>
      </c>
      <c r="D7" s="0" t="s">
        <v>258</v>
      </c>
    </row>
    <row r="8" customFormat="false" ht="14.6" hidden="false" customHeight="false" outlineLevel="0" collapsed="false">
      <c r="B8" s="90" t="s">
        <v>259</v>
      </c>
      <c r="C8" s="0" t="s">
        <v>260</v>
      </c>
    </row>
    <row r="9" customFormat="false" ht="14.6" hidden="false" customHeight="false" outlineLevel="0" collapsed="false">
      <c r="B9" s="90" t="s">
        <v>261</v>
      </c>
    </row>
    <row r="10" customFormat="false" ht="29.15" hidden="false" customHeight="false" outlineLevel="0" collapsed="false">
      <c r="C10" s="91" t="s">
        <v>262</v>
      </c>
    </row>
    <row r="11" customFormat="false" ht="14.6" hidden="false" customHeight="false" outlineLevel="0" collapsed="false">
      <c r="A11" s="90" t="s">
        <v>263</v>
      </c>
      <c r="B11" s="90" t="s">
        <v>264</v>
      </c>
    </row>
    <row r="12" customFormat="false" ht="14.6" hidden="false" customHeight="false" outlineLevel="0" collapsed="false">
      <c r="B12" s="90" t="s">
        <v>265</v>
      </c>
    </row>
    <row r="13" customFormat="false" ht="14.6" hidden="false" customHeight="false" outlineLevel="0" collapsed="false">
      <c r="B13" s="90" t="s">
        <v>266</v>
      </c>
      <c r="C13" s="92" t="s">
        <v>267</v>
      </c>
    </row>
    <row r="15" customFormat="false" ht="14.6" hidden="false" customHeight="false" outlineLevel="0" collapsed="false">
      <c r="C15" s="92"/>
    </row>
    <row r="16" customFormat="false" ht="14.6" hidden="false" customHeight="false" outlineLevel="0" collapsed="false">
      <c r="A16" s="90" t="s">
        <v>268</v>
      </c>
      <c r="B16" s="90" t="s">
        <v>269</v>
      </c>
    </row>
    <row r="17" customFormat="false" ht="14.6" hidden="false" customHeight="false" outlineLevel="0" collapsed="false">
      <c r="B17" s="0" t="s">
        <v>270</v>
      </c>
    </row>
    <row r="19" customFormat="false" ht="14.6" hidden="false" customHeight="false" outlineLevel="0" collapsed="false">
      <c r="A19" s="0" t="s">
        <v>271</v>
      </c>
      <c r="B19" s="0" t="s">
        <v>272</v>
      </c>
    </row>
    <row r="20" customFormat="false" ht="14.6" hidden="false" customHeight="false" outlineLevel="0" collapsed="false">
      <c r="B20" s="0" t="s">
        <v>273</v>
      </c>
    </row>
    <row r="22" customFormat="false" ht="14.6" hidden="false" customHeight="false" outlineLevel="0" collapsed="false">
      <c r="A22" s="0" t="s">
        <v>274</v>
      </c>
      <c r="B22" s="0" t="s">
        <v>275</v>
      </c>
    </row>
    <row r="23" customFormat="false" ht="14.6" hidden="false" customHeight="false" outlineLevel="0" collapsed="false">
      <c r="A23" s="0" t="s">
        <v>276</v>
      </c>
      <c r="B23" s="0" t="s">
        <v>277</v>
      </c>
    </row>
    <row r="24" customFormat="false" ht="14.6" hidden="false" customHeight="false" outlineLevel="0" collapsed="false">
      <c r="B24" s="0" t="s">
        <v>278</v>
      </c>
    </row>
    <row r="27" customFormat="false" ht="14.6" hidden="false" customHeight="false" outlineLevel="0" collapsed="false">
      <c r="C27" s="93" t="s">
        <v>279</v>
      </c>
    </row>
    <row r="28" customFormat="false" ht="14.6" hidden="false" customHeight="false" outlineLevel="0" collapsed="false">
      <c r="C28" s="94" t="s">
        <v>280</v>
      </c>
    </row>
    <row r="29" customFormat="false" ht="14.6" hidden="false" customHeight="false" outlineLevel="0" collapsed="false">
      <c r="C29" s="94" t="s">
        <v>281</v>
      </c>
    </row>
    <row r="30" customFormat="false" ht="14.6" hidden="false" customHeight="false" outlineLevel="0" collapsed="false">
      <c r="C30" s="94" t="s">
        <v>282</v>
      </c>
    </row>
    <row r="31" customFormat="false" ht="14.6" hidden="false" customHeight="false" outlineLevel="0" collapsed="false">
      <c r="C31" s="94" t="s">
        <v>283</v>
      </c>
    </row>
    <row r="32" customFormat="false" ht="14.6" hidden="false" customHeight="false" outlineLevel="0" collapsed="false">
      <c r="C32" s="93" t="s">
        <v>284</v>
      </c>
    </row>
    <row r="33" customFormat="false" ht="14.6" hidden="false" customHeight="false" outlineLevel="0" collapsed="false">
      <c r="C33" s="94" t="s">
        <v>285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tabColor rgb="FF92D050"/>
    <pageSetUpPr fitToPage="false"/>
  </sheetPr>
  <dimension ref="A1:C4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2" activeCellId="0" sqref="B12"/>
    </sheetView>
  </sheetViews>
  <sheetFormatPr defaultRowHeight="14.6" zeroHeight="false" outlineLevelRow="0" outlineLevelCol="0"/>
  <cols>
    <col collapsed="false" customWidth="true" hidden="false" outlineLevel="0" max="1" min="1" style="0" width="30.84"/>
    <col collapsed="false" customWidth="true" hidden="false" outlineLevel="0" max="2" min="2" style="0" width="81.38"/>
    <col collapsed="false" customWidth="true" hidden="false" outlineLevel="0" max="3" min="3" style="0" width="77.38"/>
    <col collapsed="false" customWidth="true" hidden="false" outlineLevel="0" max="1025" min="4" style="0" width="8.75"/>
  </cols>
  <sheetData>
    <row r="1" customFormat="false" ht="14.6" hidden="false" customHeight="false" outlineLevel="0" collapsed="false">
      <c r="A1" s="95" t="s">
        <v>286</v>
      </c>
      <c r="C1" s="0" t="s">
        <v>287</v>
      </c>
    </row>
    <row r="2" customFormat="false" ht="14.6" hidden="false" customHeight="false" outlineLevel="0" collapsed="false">
      <c r="A2" s="95" t="s">
        <v>288</v>
      </c>
      <c r="B2" s="96" t="s">
        <v>289</v>
      </c>
      <c r="C2" s="0" t="s">
        <v>290</v>
      </c>
    </row>
    <row r="3" customFormat="false" ht="14.6" hidden="false" customHeight="false" outlineLevel="0" collapsed="false">
      <c r="A3" s="95"/>
      <c r="B3" s="96" t="s">
        <v>291</v>
      </c>
      <c r="C3" s="0" t="s">
        <v>292</v>
      </c>
    </row>
    <row r="4" customFormat="false" ht="14.6" hidden="false" customHeight="false" outlineLevel="0" collapsed="false">
      <c r="A4" s="95" t="s">
        <v>293</v>
      </c>
      <c r="B4" s="96" t="s">
        <v>294</v>
      </c>
    </row>
    <row r="5" customFormat="false" ht="14.6" hidden="false" customHeight="false" outlineLevel="0" collapsed="false">
      <c r="A5" s="95"/>
      <c r="B5" s="96" t="s">
        <v>295</v>
      </c>
    </row>
    <row r="6" customFormat="false" ht="14.6" hidden="false" customHeight="false" outlineLevel="0" collapsed="false">
      <c r="A6" s="95"/>
      <c r="B6" s="96"/>
      <c r="C6" s="0" t="s">
        <v>296</v>
      </c>
    </row>
    <row r="7" customFormat="false" ht="14.6" hidden="false" customHeight="false" outlineLevel="0" collapsed="false">
      <c r="A7" s="95" t="s">
        <v>297</v>
      </c>
      <c r="B7" s="96" t="s">
        <v>298</v>
      </c>
      <c r="C7" s="0" t="s">
        <v>299</v>
      </c>
    </row>
    <row r="8" customFormat="false" ht="14.6" hidden="false" customHeight="false" outlineLevel="0" collapsed="false">
      <c r="A8" s="95"/>
      <c r="B8" s="96" t="s">
        <v>300</v>
      </c>
      <c r="C8" s="0" t="s">
        <v>301</v>
      </c>
    </row>
    <row r="9" customFormat="false" ht="14.6" hidden="false" customHeight="false" outlineLevel="0" collapsed="false">
      <c r="A9" s="95"/>
      <c r="B9" s="96" t="s">
        <v>302</v>
      </c>
    </row>
    <row r="10" customFormat="false" ht="14.6" hidden="false" customHeight="false" outlineLevel="0" collapsed="false">
      <c r="A10" s="95"/>
      <c r="B10" s="96"/>
      <c r="C10" s="0" t="s">
        <v>303</v>
      </c>
    </row>
    <row r="11" customFormat="false" ht="14.6" hidden="false" customHeight="false" outlineLevel="0" collapsed="false">
      <c r="A11" s="95"/>
      <c r="B11" s="96" t="s">
        <v>304</v>
      </c>
      <c r="C11" s="0" t="s">
        <v>305</v>
      </c>
    </row>
    <row r="12" customFormat="false" ht="14.6" hidden="false" customHeight="false" outlineLevel="0" collapsed="false">
      <c r="A12" s="95"/>
      <c r="B12" s="96" t="s">
        <v>306</v>
      </c>
    </row>
    <row r="13" customFormat="false" ht="14.6" hidden="false" customHeight="false" outlineLevel="0" collapsed="false">
      <c r="A13" s="95"/>
      <c r="B13" s="96"/>
      <c r="C13" s="0" t="s">
        <v>307</v>
      </c>
    </row>
    <row r="14" customFormat="false" ht="14.6" hidden="false" customHeight="false" outlineLevel="0" collapsed="false">
      <c r="A14" s="95" t="s">
        <v>308</v>
      </c>
      <c r="B14" s="96" t="s">
        <v>309</v>
      </c>
      <c r="C14" s="0" t="s">
        <v>310</v>
      </c>
    </row>
    <row r="15" customFormat="false" ht="14.6" hidden="false" customHeight="false" outlineLevel="0" collapsed="false">
      <c r="A15" s="95"/>
      <c r="B15" s="96" t="s">
        <v>311</v>
      </c>
    </row>
    <row r="16" customFormat="false" ht="14.6" hidden="false" customHeight="false" outlineLevel="0" collapsed="false">
      <c r="A16" s="95"/>
      <c r="B16" s="96" t="s">
        <v>312</v>
      </c>
      <c r="C16" s="0" t="s">
        <v>313</v>
      </c>
    </row>
    <row r="17" customFormat="false" ht="14.6" hidden="false" customHeight="false" outlineLevel="0" collapsed="false">
      <c r="A17" s="95"/>
      <c r="B17" s="96" t="s">
        <v>314</v>
      </c>
      <c r="C17" s="0" t="s">
        <v>315</v>
      </c>
    </row>
    <row r="18" customFormat="false" ht="14.6" hidden="false" customHeight="false" outlineLevel="0" collapsed="false">
      <c r="A18" s="95"/>
      <c r="B18" s="96" t="s">
        <v>316</v>
      </c>
    </row>
    <row r="19" customFormat="false" ht="14.6" hidden="false" customHeight="false" outlineLevel="0" collapsed="false">
      <c r="A19" s="95"/>
      <c r="B19" s="96" t="s">
        <v>317</v>
      </c>
    </row>
    <row r="20" customFormat="false" ht="14.6" hidden="false" customHeight="false" outlineLevel="0" collapsed="false">
      <c r="A20" s="95"/>
      <c r="B20" s="96"/>
    </row>
    <row r="21" customFormat="false" ht="14.6" hidden="false" customHeight="false" outlineLevel="0" collapsed="false">
      <c r="A21" s="95" t="s">
        <v>318</v>
      </c>
      <c r="B21" s="96" t="s">
        <v>319</v>
      </c>
    </row>
    <row r="22" customFormat="false" ht="14.6" hidden="false" customHeight="false" outlineLevel="0" collapsed="false">
      <c r="A22" s="95"/>
      <c r="B22" s="96"/>
    </row>
    <row r="23" customFormat="false" ht="14.6" hidden="false" customHeight="false" outlineLevel="0" collapsed="false">
      <c r="A23" s="95" t="s">
        <v>320</v>
      </c>
      <c r="B23" s="96" t="s">
        <v>321</v>
      </c>
    </row>
    <row r="24" customFormat="false" ht="14.6" hidden="false" customHeight="false" outlineLevel="0" collapsed="false">
      <c r="A24" s="95"/>
      <c r="B24" s="96"/>
    </row>
    <row r="25" customFormat="false" ht="14.6" hidden="false" customHeight="false" outlineLevel="0" collapsed="false">
      <c r="A25" s="95" t="s">
        <v>322</v>
      </c>
      <c r="B25" s="96" t="s">
        <v>323</v>
      </c>
    </row>
    <row r="26" customFormat="false" ht="14.6" hidden="false" customHeight="false" outlineLevel="0" collapsed="false">
      <c r="A26" s="95"/>
      <c r="B26" s="96" t="s">
        <v>324</v>
      </c>
    </row>
    <row r="27" customFormat="false" ht="14.6" hidden="false" customHeight="false" outlineLevel="0" collapsed="false">
      <c r="A27" s="95"/>
      <c r="B27" s="96" t="s">
        <v>325</v>
      </c>
    </row>
    <row r="28" customFormat="false" ht="14.6" hidden="false" customHeight="false" outlineLevel="0" collapsed="false">
      <c r="A28" s="95"/>
      <c r="B28" s="96" t="s">
        <v>326</v>
      </c>
    </row>
    <row r="29" customFormat="false" ht="14.6" hidden="false" customHeight="false" outlineLevel="0" collapsed="false">
      <c r="A29" s="95"/>
      <c r="B29" s="96"/>
    </row>
    <row r="30" customFormat="false" ht="14.6" hidden="false" customHeight="false" outlineLevel="0" collapsed="false">
      <c r="A30" s="95" t="s">
        <v>327</v>
      </c>
      <c r="B30" s="96" t="s">
        <v>328</v>
      </c>
    </row>
    <row r="31" customFormat="false" ht="14.6" hidden="false" customHeight="false" outlineLevel="0" collapsed="false">
      <c r="A31" s="95" t="s">
        <v>329</v>
      </c>
      <c r="B31" s="96" t="s">
        <v>330</v>
      </c>
    </row>
    <row r="32" customFormat="false" ht="14.6" hidden="false" customHeight="false" outlineLevel="0" collapsed="false">
      <c r="A32" s="95" t="s">
        <v>331</v>
      </c>
      <c r="B32" s="96" t="s">
        <v>332</v>
      </c>
    </row>
    <row r="33" customFormat="false" ht="14.6" hidden="false" customHeight="false" outlineLevel="0" collapsed="false">
      <c r="A33" s="95" t="s">
        <v>333</v>
      </c>
      <c r="B33" s="96" t="s">
        <v>334</v>
      </c>
    </row>
    <row r="34" customFormat="false" ht="14.6" hidden="false" customHeight="false" outlineLevel="0" collapsed="false">
      <c r="A34" s="95" t="s">
        <v>335</v>
      </c>
      <c r="B34" s="96" t="s">
        <v>336</v>
      </c>
    </row>
    <row r="35" customFormat="false" ht="14.6" hidden="false" customHeight="false" outlineLevel="0" collapsed="false">
      <c r="A35" s="95" t="s">
        <v>337</v>
      </c>
      <c r="B35" s="96" t="s">
        <v>338</v>
      </c>
    </row>
    <row r="36" customFormat="false" ht="14.6" hidden="false" customHeight="false" outlineLevel="0" collapsed="false">
      <c r="A36" s="95" t="s">
        <v>339</v>
      </c>
      <c r="B36" s="96" t="s">
        <v>340</v>
      </c>
    </row>
    <row r="37" customFormat="false" ht="14.6" hidden="false" customHeight="false" outlineLevel="0" collapsed="false">
      <c r="A37" s="95" t="s">
        <v>341</v>
      </c>
      <c r="B37" s="96" t="s">
        <v>342</v>
      </c>
    </row>
    <row r="38" customFormat="false" ht="14.6" hidden="false" customHeight="false" outlineLevel="0" collapsed="false">
      <c r="A38" s="95" t="s">
        <v>343</v>
      </c>
      <c r="B38" s="96" t="s">
        <v>344</v>
      </c>
    </row>
    <row r="39" customFormat="false" ht="14.6" hidden="false" customHeight="false" outlineLevel="0" collapsed="false">
      <c r="A39" s="95"/>
      <c r="B39" s="96" t="s">
        <v>345</v>
      </c>
    </row>
    <row r="40" customFormat="false" ht="14.6" hidden="false" customHeight="false" outlineLevel="0" collapsed="false">
      <c r="A40" s="95" t="s">
        <v>346</v>
      </c>
      <c r="B40" s="96" t="s">
        <v>347</v>
      </c>
    </row>
    <row r="41" customFormat="false" ht="14.6" hidden="false" customHeight="false" outlineLevel="0" collapsed="false">
      <c r="A41" s="95" t="s">
        <v>348</v>
      </c>
      <c r="B41" s="96" t="s">
        <v>349</v>
      </c>
    </row>
    <row r="42" customFormat="false" ht="14.6" hidden="false" customHeight="false" outlineLevel="0" collapsed="false">
      <c r="A42" s="95" t="s">
        <v>350</v>
      </c>
      <c r="B42" s="96" t="s">
        <v>351</v>
      </c>
    </row>
    <row r="43" customFormat="false" ht="14.6" hidden="false" customHeight="false" outlineLevel="0" collapsed="false">
      <c r="A43" s="95" t="s">
        <v>352</v>
      </c>
      <c r="B43" s="96" t="s">
        <v>353</v>
      </c>
    </row>
    <row r="44" customFormat="false" ht="14.6" hidden="false" customHeight="false" outlineLevel="0" collapsed="false">
      <c r="A44" s="95" t="s">
        <v>354</v>
      </c>
      <c r="B44" s="96"/>
    </row>
    <row r="45" customFormat="false" ht="14.6" hidden="false" customHeight="false" outlineLevel="0" collapsed="false">
      <c r="A45" s="95" t="s">
        <v>355</v>
      </c>
      <c r="B45" s="96" t="s">
        <v>356</v>
      </c>
    </row>
    <row r="46" customFormat="false" ht="14.6" hidden="false" customHeight="false" outlineLevel="0" collapsed="false">
      <c r="A46" s="95" t="s">
        <v>357</v>
      </c>
      <c r="B46" s="96" t="s">
        <v>358</v>
      </c>
    </row>
    <row r="47" customFormat="false" ht="14.6" hidden="false" customHeight="false" outlineLevel="0" collapsed="false">
      <c r="A47" s="95" t="s">
        <v>359</v>
      </c>
      <c r="B47" s="96" t="s">
        <v>360</v>
      </c>
    </row>
    <row r="48" customFormat="false" ht="14.6" hidden="false" customHeight="false" outlineLevel="0" collapsed="false">
      <c r="B48" s="96" t="s">
        <v>361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tabColor rgb="FF92D050"/>
    <pageSetUpPr fitToPage="false"/>
  </sheetPr>
  <dimension ref="A1:B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6" activeCellId="0" sqref="A26"/>
    </sheetView>
  </sheetViews>
  <sheetFormatPr defaultRowHeight="14.6" zeroHeight="false" outlineLevelRow="0" outlineLevelCol="0"/>
  <cols>
    <col collapsed="false" customWidth="true" hidden="false" outlineLevel="0" max="1" min="1" style="0" width="74.84"/>
    <col collapsed="false" customWidth="true" hidden="false" outlineLevel="0" max="2" min="2" style="0" width="201.84"/>
    <col collapsed="false" customWidth="true" hidden="false" outlineLevel="0" max="1025" min="3" style="0" width="8.75"/>
  </cols>
  <sheetData>
    <row r="1" customFormat="false" ht="14.6" hidden="false" customHeight="false" outlineLevel="0" collapsed="false">
      <c r="A1" s="0" t="s">
        <v>362</v>
      </c>
      <c r="B1" s="0" t="s">
        <v>363</v>
      </c>
    </row>
    <row r="2" customFormat="false" ht="14.6" hidden="false" customHeight="false" outlineLevel="0" collapsed="false">
      <c r="A2" s="0" t="s">
        <v>346</v>
      </c>
      <c r="B2" s="0" t="s">
        <v>364</v>
      </c>
    </row>
    <row r="6" customFormat="false" ht="14.6" hidden="false" customHeight="false" outlineLevel="0" collapsed="false">
      <c r="A6" s="0" t="s">
        <v>365</v>
      </c>
    </row>
    <row r="8" customFormat="false" ht="14.6" hidden="false" customHeight="false" outlineLevel="0" collapsed="false">
      <c r="A8" s="0" t="s">
        <v>366</v>
      </c>
    </row>
    <row r="10" customFormat="false" ht="14.6" hidden="false" customHeight="false" outlineLevel="0" collapsed="false">
      <c r="A10" s="0" t="s">
        <v>367</v>
      </c>
    </row>
    <row r="11" customFormat="false" ht="14.6" hidden="false" customHeight="false" outlineLevel="0" collapsed="false">
      <c r="B11" s="0" t="s">
        <v>368</v>
      </c>
    </row>
    <row r="12" customFormat="false" ht="14.6" hidden="false" customHeight="false" outlineLevel="0" collapsed="false">
      <c r="B12" s="0" t="s">
        <v>369</v>
      </c>
    </row>
    <row r="13" customFormat="false" ht="14.6" hidden="false" customHeight="false" outlineLevel="0" collapsed="false">
      <c r="B13" s="0" t="s">
        <v>370</v>
      </c>
    </row>
    <row r="14" customFormat="false" ht="14.6" hidden="false" customHeight="false" outlineLevel="0" collapsed="false">
      <c r="B14" s="0" t="s">
        <v>371</v>
      </c>
    </row>
    <row r="15" customFormat="false" ht="14.6" hidden="false" customHeight="false" outlineLevel="0" collapsed="false">
      <c r="A15" s="0" t="s">
        <v>372</v>
      </c>
    </row>
    <row r="16" customFormat="false" ht="14.6" hidden="false" customHeight="false" outlineLevel="0" collapsed="false">
      <c r="B16" s="0" t="s">
        <v>373</v>
      </c>
    </row>
    <row r="17" customFormat="false" ht="14.6" hidden="false" customHeight="false" outlineLevel="0" collapsed="false">
      <c r="B17" s="0" t="s">
        <v>374</v>
      </c>
    </row>
    <row r="18" customFormat="false" ht="14.6" hidden="false" customHeight="false" outlineLevel="0" collapsed="false">
      <c r="A18" s="0" t="s">
        <v>375</v>
      </c>
    </row>
    <row r="19" customFormat="false" ht="14.6" hidden="false" customHeight="false" outlineLevel="0" collapsed="false">
      <c r="B19" s="0" t="s">
        <v>376</v>
      </c>
    </row>
    <row r="20" customFormat="false" ht="14.6" hidden="false" customHeight="false" outlineLevel="0" collapsed="false">
      <c r="B20" s="0" t="s">
        <v>377</v>
      </c>
    </row>
    <row r="21" customFormat="false" ht="14.6" hidden="false" customHeight="false" outlineLevel="0" collapsed="false">
      <c r="B21" s="0" t="s">
        <v>378</v>
      </c>
    </row>
    <row r="22" customFormat="false" ht="14.6" hidden="false" customHeight="false" outlineLevel="0" collapsed="false">
      <c r="A22" s="0" t="s">
        <v>379</v>
      </c>
    </row>
    <row r="23" customFormat="false" ht="14.6" hidden="false" customHeight="false" outlineLevel="0" collapsed="false">
      <c r="B23" s="0" t="s">
        <v>380</v>
      </c>
    </row>
    <row r="24" customFormat="false" ht="14.6" hidden="false" customHeight="false" outlineLevel="0" collapsed="false">
      <c r="A24" s="0" t="s">
        <v>381</v>
      </c>
    </row>
    <row r="25" customFormat="false" ht="14.6" hidden="false" customHeight="false" outlineLevel="0" collapsed="false">
      <c r="B25" s="0" t="s">
        <v>382</v>
      </c>
    </row>
    <row r="26" customFormat="false" ht="14.6" hidden="false" customHeight="false" outlineLevel="0" collapsed="false">
      <c r="B26" s="0" t="s">
        <v>383</v>
      </c>
    </row>
    <row r="27" customFormat="false" ht="14.6" hidden="false" customHeight="false" outlineLevel="0" collapsed="false">
      <c r="B27" s="0" t="s">
        <v>384</v>
      </c>
    </row>
    <row r="28" customFormat="false" ht="14.6" hidden="false" customHeight="false" outlineLevel="0" collapsed="false">
      <c r="A28" s="0" t="s">
        <v>385</v>
      </c>
    </row>
    <row r="29" customFormat="false" ht="14.6" hidden="false" customHeight="false" outlineLevel="0" collapsed="false">
      <c r="B29" s="0" t="s">
        <v>386</v>
      </c>
    </row>
    <row r="30" customFormat="false" ht="14.6" hidden="false" customHeight="false" outlineLevel="0" collapsed="false">
      <c r="A30" s="0" t="s">
        <v>387</v>
      </c>
    </row>
    <row r="31" customFormat="false" ht="14.6" hidden="false" customHeight="false" outlineLevel="0" collapsed="false">
      <c r="B31" s="0" t="s">
        <v>388</v>
      </c>
    </row>
    <row r="32" customFormat="false" ht="14.6" hidden="false" customHeight="false" outlineLevel="0" collapsed="false">
      <c r="A32" s="0" t="s">
        <v>389</v>
      </c>
    </row>
    <row r="33" customFormat="false" ht="14.6" hidden="false" customHeight="false" outlineLevel="0" collapsed="false">
      <c r="B33" s="0" t="s">
        <v>390</v>
      </c>
    </row>
    <row r="34" customFormat="false" ht="14.6" hidden="false" customHeight="false" outlineLevel="0" collapsed="false">
      <c r="A34" s="0" t="s">
        <v>391</v>
      </c>
    </row>
    <row r="35" customFormat="false" ht="14.6" hidden="false" customHeight="false" outlineLevel="0" collapsed="false">
      <c r="B35" s="0" t="s">
        <v>392</v>
      </c>
    </row>
    <row r="36" customFormat="false" ht="14.6" hidden="false" customHeight="false" outlineLevel="0" collapsed="false">
      <c r="B36" s="0" t="s">
        <v>393</v>
      </c>
    </row>
    <row r="37" customFormat="false" ht="14.6" hidden="false" customHeight="false" outlineLevel="0" collapsed="false">
      <c r="A37" s="0" t="s">
        <v>394</v>
      </c>
    </row>
    <row r="38" customFormat="false" ht="14.6" hidden="false" customHeight="false" outlineLevel="0" collapsed="false">
      <c r="B38" s="0" t="s">
        <v>395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tabColor rgb="FF92D050"/>
    <pageSetUpPr fitToPage="false"/>
  </sheetPr>
  <dimension ref="A1:A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1" activeCellId="0" sqref="D21"/>
    </sheetView>
  </sheetViews>
  <sheetFormatPr defaultRowHeight="14.6" zeroHeight="false" outlineLevelRow="0" outlineLevelCol="0"/>
  <cols>
    <col collapsed="false" customWidth="true" hidden="false" outlineLevel="0" max="1" min="1" style="0" width="105.3"/>
    <col collapsed="false" customWidth="true" hidden="false" outlineLevel="0" max="1025" min="2" style="0" width="8.75"/>
  </cols>
  <sheetData>
    <row r="1" customFormat="false" ht="14.6" hidden="false" customHeight="false" outlineLevel="0" collapsed="false">
      <c r="A1" s="95" t="s">
        <v>396</v>
      </c>
    </row>
    <row r="2" customFormat="false" ht="14.6" hidden="false" customHeight="false" outlineLevel="0" collapsed="false">
      <c r="A2" s="0" t="s">
        <v>397</v>
      </c>
    </row>
    <row r="3" customFormat="false" ht="14.6" hidden="false" customHeight="false" outlineLevel="0" collapsed="false">
      <c r="A3" s="97" t="s">
        <v>398</v>
      </c>
    </row>
    <row r="4" customFormat="false" ht="14.6" hidden="false" customHeight="false" outlineLevel="0" collapsed="false">
      <c r="A4" s="0" t="s">
        <v>399</v>
      </c>
    </row>
    <row r="5" customFormat="false" ht="14.6" hidden="false" customHeight="false" outlineLevel="0" collapsed="false">
      <c r="A5" s="0" t="s">
        <v>400</v>
      </c>
    </row>
    <row r="6" customFormat="false" ht="14.6" hidden="false" customHeight="false" outlineLevel="0" collapsed="false">
      <c r="A6" s="95" t="s">
        <v>401</v>
      </c>
    </row>
    <row r="7" customFormat="false" ht="14.6" hidden="false" customHeight="false" outlineLevel="0" collapsed="false">
      <c r="A7" s="0" t="s">
        <v>402</v>
      </c>
    </row>
    <row r="8" customFormat="false" ht="14.6" hidden="false" customHeight="false" outlineLevel="0" collapsed="false">
      <c r="A8" s="0" t="s">
        <v>403</v>
      </c>
    </row>
    <row r="9" customFormat="false" ht="14.6" hidden="false" customHeight="false" outlineLevel="0" collapsed="false">
      <c r="A9" s="0" t="s">
        <v>404</v>
      </c>
    </row>
    <row r="10" customFormat="false" ht="14.6" hidden="false" customHeight="false" outlineLevel="0" collapsed="false">
      <c r="A10" s="0" t="s">
        <v>405</v>
      </c>
    </row>
    <row r="11" customFormat="false" ht="14.6" hidden="false" customHeight="false" outlineLevel="0" collapsed="false">
      <c r="A11" s="95" t="s">
        <v>406</v>
      </c>
    </row>
    <row r="12" customFormat="false" ht="14.6" hidden="false" customHeight="false" outlineLevel="0" collapsed="false">
      <c r="A12" s="0" t="s">
        <v>407</v>
      </c>
    </row>
    <row r="13" customFormat="false" ht="14.6" hidden="false" customHeight="false" outlineLevel="0" collapsed="false">
      <c r="A13" s="0" t="s">
        <v>408</v>
      </c>
    </row>
    <row r="14" customFormat="false" ht="14.6" hidden="false" customHeight="false" outlineLevel="0" collapsed="false">
      <c r="A14" s="0" t="s">
        <v>409</v>
      </c>
    </row>
    <row r="15" customFormat="false" ht="14.6" hidden="false" customHeight="false" outlineLevel="0" collapsed="false">
      <c r="A15" s="0" t="s">
        <v>410</v>
      </c>
    </row>
    <row r="16" customFormat="false" ht="14.6" hidden="false" customHeight="false" outlineLevel="0" collapsed="false">
      <c r="A16" s="95" t="s">
        <v>411</v>
      </c>
    </row>
    <row r="17" customFormat="false" ht="29.15" hidden="false" customHeight="false" outlineLevel="0" collapsed="false">
      <c r="A17" s="8" t="s">
        <v>412</v>
      </c>
    </row>
    <row r="18" customFormat="false" ht="14.6" hidden="false" customHeight="false" outlineLevel="0" collapsed="false">
      <c r="A18" s="0" t="s">
        <v>413</v>
      </c>
    </row>
    <row r="19" customFormat="false" ht="14.6" hidden="false" customHeight="false" outlineLevel="0" collapsed="false">
      <c r="A19" s="0" t="s">
        <v>414</v>
      </c>
    </row>
    <row r="20" customFormat="false" ht="14.6" hidden="false" customHeight="false" outlineLevel="0" collapsed="false">
      <c r="A20" s="0" t="s">
        <v>415</v>
      </c>
    </row>
    <row r="21" customFormat="false" ht="14.6" hidden="false" customHeight="false" outlineLevel="0" collapsed="false">
      <c r="A21" s="95" t="s">
        <v>416</v>
      </c>
    </row>
    <row r="22" customFormat="false" ht="14.6" hidden="false" customHeight="false" outlineLevel="0" collapsed="false">
      <c r="A22" s="0" t="s">
        <v>417</v>
      </c>
    </row>
    <row r="23" customFormat="false" ht="14.6" hidden="false" customHeight="false" outlineLevel="0" collapsed="false">
      <c r="A23" s="0" t="s">
        <v>418</v>
      </c>
    </row>
    <row r="24" customFormat="false" ht="14.6" hidden="false" customHeight="false" outlineLevel="0" collapsed="false">
      <c r="A24" s="0" t="s">
        <v>419</v>
      </c>
    </row>
    <row r="25" customFormat="false" ht="14.6" hidden="false" customHeight="false" outlineLevel="0" collapsed="false">
      <c r="A25" s="0" t="s">
        <v>420</v>
      </c>
    </row>
    <row r="26" customFormat="false" ht="14.6" hidden="false" customHeight="false" outlineLevel="0" collapsed="false">
      <c r="A26" s="0" t="s">
        <v>421</v>
      </c>
    </row>
    <row r="27" customFormat="false" ht="14.6" hidden="false" customHeight="false" outlineLevel="0" collapsed="false">
      <c r="A27" s="95" t="s">
        <v>422</v>
      </c>
    </row>
    <row r="28" customFormat="false" ht="14.6" hidden="false" customHeight="false" outlineLevel="0" collapsed="false">
      <c r="A28" s="0" t="s">
        <v>423</v>
      </c>
    </row>
    <row r="30" customFormat="false" ht="14.6" hidden="false" customHeight="false" outlineLevel="0" collapsed="false">
      <c r="A30" s="0" t="s">
        <v>424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tabColor rgb="FF92D050"/>
    <pageSetUpPr fitToPage="false"/>
  </sheetPr>
  <dimension ref="A1:E46"/>
  <sheetViews>
    <sheetView showFormulas="false" showGridLines="true" showRowColHeaders="true" showZeros="true" rightToLeft="false" tabSelected="false" showOutlineSymbols="true" defaultGridColor="true" view="normal" topLeftCell="A16" colorId="64" zoomScale="100" zoomScaleNormal="100" zoomScalePageLayoutView="100" workbookViewId="0">
      <selection pane="topLeft" activeCell="E30" activeCellId="0" sqref="E30"/>
    </sheetView>
  </sheetViews>
  <sheetFormatPr defaultRowHeight="14.6" zeroHeight="false" outlineLevelRow="0" outlineLevelCol="0"/>
  <cols>
    <col collapsed="false" customWidth="true" hidden="false" outlineLevel="0" max="1" min="1" style="0" width="21.39"/>
    <col collapsed="false" customWidth="true" hidden="false" outlineLevel="0" max="2" min="2" style="0" width="90.54"/>
    <col collapsed="false" customWidth="true" hidden="false" outlineLevel="0" max="3" min="3" style="0" width="8.75"/>
    <col collapsed="false" customWidth="true" hidden="false" outlineLevel="0" max="4" min="4" style="0" width="10.3"/>
    <col collapsed="false" customWidth="true" hidden="false" outlineLevel="0" max="5" min="5" style="0" width="76.84"/>
    <col collapsed="false" customWidth="true" hidden="false" outlineLevel="0" max="1025" min="6" style="0" width="8.75"/>
  </cols>
  <sheetData>
    <row r="1" customFormat="false" ht="14.6" hidden="false" customHeight="false" outlineLevel="0" collapsed="false">
      <c r="B1" s="95" t="s">
        <v>425</v>
      </c>
      <c r="D1" s="95" t="s">
        <v>426</v>
      </c>
      <c r="E1" s="95" t="s">
        <v>427</v>
      </c>
    </row>
    <row r="2" customFormat="false" ht="14.6" hidden="false" customHeight="false" outlineLevel="0" collapsed="false">
      <c r="A2" s="95" t="s">
        <v>428</v>
      </c>
      <c r="B2" s="96" t="s">
        <v>429</v>
      </c>
      <c r="E2" s="96" t="s">
        <v>430</v>
      </c>
    </row>
    <row r="3" customFormat="false" ht="14.6" hidden="false" customHeight="false" outlineLevel="0" collapsed="false">
      <c r="A3" s="95"/>
      <c r="B3" s="96" t="s">
        <v>431</v>
      </c>
      <c r="E3" s="96" t="s">
        <v>432</v>
      </c>
    </row>
    <row r="4" customFormat="false" ht="14.6" hidden="false" customHeight="false" outlineLevel="0" collapsed="false">
      <c r="A4" s="95" t="s">
        <v>433</v>
      </c>
      <c r="B4" s="96" t="s">
        <v>434</v>
      </c>
      <c r="E4" s="96" t="s">
        <v>435</v>
      </c>
    </row>
    <row r="5" customFormat="false" ht="14.6" hidden="false" customHeight="false" outlineLevel="0" collapsed="false">
      <c r="A5" s="95"/>
      <c r="B5" s="96" t="s">
        <v>436</v>
      </c>
      <c r="E5" s="96" t="s">
        <v>437</v>
      </c>
    </row>
    <row r="6" customFormat="false" ht="14.6" hidden="false" customHeight="false" outlineLevel="0" collapsed="false">
      <c r="A6" s="95" t="s">
        <v>438</v>
      </c>
      <c r="B6" s="96" t="s">
        <v>439</v>
      </c>
      <c r="E6" s="96" t="s">
        <v>440</v>
      </c>
    </row>
    <row r="7" customFormat="false" ht="14.6" hidden="false" customHeight="false" outlineLevel="0" collapsed="false">
      <c r="A7" s="95" t="s">
        <v>441</v>
      </c>
      <c r="B7" s="96" t="s">
        <v>442</v>
      </c>
      <c r="E7" s="96"/>
    </row>
    <row r="8" customFormat="false" ht="14.6" hidden="false" customHeight="false" outlineLevel="0" collapsed="false">
      <c r="B8" s="96" t="s">
        <v>443</v>
      </c>
      <c r="D8" s="95" t="s">
        <v>416</v>
      </c>
      <c r="E8" s="96" t="s">
        <v>444</v>
      </c>
    </row>
    <row r="9" customFormat="false" ht="14.6" hidden="false" customHeight="false" outlineLevel="0" collapsed="false">
      <c r="B9" s="96" t="s">
        <v>445</v>
      </c>
      <c r="E9" s="96" t="s">
        <v>446</v>
      </c>
    </row>
    <row r="10" customFormat="false" ht="14.6" hidden="false" customHeight="false" outlineLevel="0" collapsed="false">
      <c r="B10" s="96" t="s">
        <v>447</v>
      </c>
      <c r="E10" s="96"/>
    </row>
    <row r="11" customFormat="false" ht="14.6" hidden="false" customHeight="false" outlineLevel="0" collapsed="false">
      <c r="A11" s="95" t="s">
        <v>448</v>
      </c>
      <c r="B11" s="96" t="s">
        <v>449</v>
      </c>
      <c r="D11" s="95" t="s">
        <v>450</v>
      </c>
      <c r="E11" s="96" t="s">
        <v>451</v>
      </c>
    </row>
    <row r="12" customFormat="false" ht="14.6" hidden="false" customHeight="false" outlineLevel="0" collapsed="false">
      <c r="B12" s="96" t="s">
        <v>452</v>
      </c>
      <c r="E12" s="96" t="s">
        <v>453</v>
      </c>
    </row>
    <row r="13" customFormat="false" ht="14.6" hidden="false" customHeight="false" outlineLevel="0" collapsed="false">
      <c r="B13" s="96" t="s">
        <v>454</v>
      </c>
      <c r="E13" s="96" t="s">
        <v>455</v>
      </c>
    </row>
    <row r="14" customFormat="false" ht="14.6" hidden="false" customHeight="false" outlineLevel="0" collapsed="false">
      <c r="B14" s="96" t="s">
        <v>456</v>
      </c>
      <c r="E14" s="96" t="s">
        <v>457</v>
      </c>
    </row>
    <row r="15" customFormat="false" ht="14.6" hidden="false" customHeight="false" outlineLevel="0" collapsed="false">
      <c r="E15" s="96" t="s">
        <v>458</v>
      </c>
    </row>
    <row r="16" customFormat="false" ht="14.6" hidden="false" customHeight="false" outlineLevel="0" collapsed="false">
      <c r="A16" s="95" t="s">
        <v>459</v>
      </c>
      <c r="D16" s="95" t="s">
        <v>460</v>
      </c>
    </row>
    <row r="17" customFormat="false" ht="14.6" hidden="false" customHeight="false" outlineLevel="0" collapsed="false">
      <c r="A17" s="95" t="s">
        <v>461</v>
      </c>
      <c r="B17" s="96" t="s">
        <v>462</v>
      </c>
      <c r="E17" s="98" t="s">
        <v>463</v>
      </c>
    </row>
    <row r="18" customFormat="false" ht="14.6" hidden="false" customHeight="false" outlineLevel="0" collapsed="false">
      <c r="B18" s="96" t="s">
        <v>464</v>
      </c>
      <c r="E18" s="96" t="s">
        <v>465</v>
      </c>
    </row>
    <row r="19" customFormat="false" ht="14.6" hidden="false" customHeight="false" outlineLevel="0" collapsed="false">
      <c r="B19" s="96" t="s">
        <v>466</v>
      </c>
      <c r="E19" s="96" t="s">
        <v>467</v>
      </c>
    </row>
    <row r="20" customFormat="false" ht="14.6" hidden="false" customHeight="false" outlineLevel="0" collapsed="false">
      <c r="B20" s="96" t="s">
        <v>468</v>
      </c>
      <c r="E20" s="96" t="s">
        <v>469</v>
      </c>
    </row>
    <row r="21" customFormat="false" ht="14.6" hidden="false" customHeight="false" outlineLevel="0" collapsed="false">
      <c r="E21" s="96"/>
    </row>
    <row r="22" customFormat="false" ht="14.6" hidden="false" customHeight="false" outlineLevel="0" collapsed="false">
      <c r="A22" s="95" t="s">
        <v>470</v>
      </c>
      <c r="B22" s="96" t="s">
        <v>471</v>
      </c>
      <c r="E22" s="96" t="s">
        <v>472</v>
      </c>
    </row>
    <row r="23" customFormat="false" ht="14.6" hidden="false" customHeight="false" outlineLevel="0" collapsed="false">
      <c r="B23" s="96" t="s">
        <v>473</v>
      </c>
      <c r="E23" s="96" t="s">
        <v>474</v>
      </c>
    </row>
    <row r="24" customFormat="false" ht="14.6" hidden="false" customHeight="false" outlineLevel="0" collapsed="false">
      <c r="B24" s="96" t="s">
        <v>475</v>
      </c>
      <c r="E24" s="96" t="s">
        <v>476</v>
      </c>
    </row>
    <row r="25" customFormat="false" ht="14.6" hidden="false" customHeight="false" outlineLevel="0" collapsed="false">
      <c r="A25" s="95" t="s">
        <v>477</v>
      </c>
      <c r="B25" s="96" t="s">
        <v>478</v>
      </c>
      <c r="E25" s="96" t="s">
        <v>479</v>
      </c>
    </row>
    <row r="26" customFormat="false" ht="14.6" hidden="false" customHeight="false" outlineLevel="0" collapsed="false">
      <c r="B26" s="96" t="s">
        <v>480</v>
      </c>
      <c r="E26" s="96"/>
    </row>
    <row r="27" customFormat="false" ht="14.6" hidden="false" customHeight="false" outlineLevel="0" collapsed="false">
      <c r="B27" s="96" t="s">
        <v>481</v>
      </c>
      <c r="E27" s="96"/>
    </row>
    <row r="28" customFormat="false" ht="14.6" hidden="false" customHeight="false" outlineLevel="0" collapsed="false">
      <c r="A28" s="95" t="s">
        <v>482</v>
      </c>
      <c r="D28" s="95" t="s">
        <v>483</v>
      </c>
      <c r="E28" s="96" t="s">
        <v>484</v>
      </c>
    </row>
    <row r="29" customFormat="false" ht="14.6" hidden="false" customHeight="false" outlineLevel="0" collapsed="false">
      <c r="B29" s="96" t="s">
        <v>485</v>
      </c>
      <c r="D29" s="95" t="s">
        <v>486</v>
      </c>
      <c r="E29" s="96" t="s">
        <v>487</v>
      </c>
    </row>
    <row r="30" customFormat="false" ht="14.6" hidden="false" customHeight="false" outlineLevel="0" collapsed="false">
      <c r="B30" s="96" t="s">
        <v>488</v>
      </c>
      <c r="E30" s="96" t="s">
        <v>489</v>
      </c>
    </row>
    <row r="31" customFormat="false" ht="14.6" hidden="false" customHeight="false" outlineLevel="0" collapsed="false">
      <c r="B31" s="96" t="s">
        <v>490</v>
      </c>
    </row>
    <row r="32" customFormat="false" ht="14.6" hidden="false" customHeight="false" outlineLevel="0" collapsed="false">
      <c r="B32" s="96" t="s">
        <v>491</v>
      </c>
    </row>
    <row r="33" customFormat="false" ht="14.6" hidden="false" customHeight="false" outlineLevel="0" collapsed="false">
      <c r="B33" s="96" t="s">
        <v>492</v>
      </c>
    </row>
    <row r="34" customFormat="false" ht="14.6" hidden="false" customHeight="false" outlineLevel="0" collapsed="false">
      <c r="A34" s="95" t="s">
        <v>493</v>
      </c>
      <c r="B34" s="96" t="s">
        <v>494</v>
      </c>
    </row>
    <row r="35" customFormat="false" ht="14.6" hidden="false" customHeight="false" outlineLevel="0" collapsed="false">
      <c r="B35" s="96" t="s">
        <v>495</v>
      </c>
    </row>
    <row r="36" customFormat="false" ht="14.6" hidden="false" customHeight="false" outlineLevel="0" collapsed="false">
      <c r="A36" s="95" t="s">
        <v>496</v>
      </c>
      <c r="B36" s="96" t="s">
        <v>497</v>
      </c>
    </row>
    <row r="37" customFormat="false" ht="14.6" hidden="false" customHeight="false" outlineLevel="0" collapsed="false">
      <c r="B37" s="96" t="s">
        <v>498</v>
      </c>
    </row>
    <row r="38" customFormat="false" ht="14.6" hidden="false" customHeight="false" outlineLevel="0" collapsed="false">
      <c r="A38" s="95" t="s">
        <v>499</v>
      </c>
      <c r="B38" s="96" t="s">
        <v>500</v>
      </c>
    </row>
    <row r="39" customFormat="false" ht="14.6" hidden="false" customHeight="false" outlineLevel="0" collapsed="false">
      <c r="B39" s="96" t="s">
        <v>501</v>
      </c>
    </row>
    <row r="40" customFormat="false" ht="14.6" hidden="false" customHeight="false" outlineLevel="0" collapsed="false">
      <c r="B40" s="96" t="s">
        <v>502</v>
      </c>
    </row>
    <row r="42" customFormat="false" ht="14.6" hidden="false" customHeight="false" outlineLevel="0" collapsed="false">
      <c r="A42" s="95" t="s">
        <v>503</v>
      </c>
      <c r="B42" s="96" t="s">
        <v>504</v>
      </c>
    </row>
    <row r="43" customFormat="false" ht="14.6" hidden="false" customHeight="false" outlineLevel="0" collapsed="false">
      <c r="B43" s="96" t="s">
        <v>505</v>
      </c>
    </row>
    <row r="44" customFormat="false" ht="14.6" hidden="false" customHeight="false" outlineLevel="0" collapsed="false">
      <c r="B44" s="96" t="s">
        <v>506</v>
      </c>
    </row>
    <row r="46" customFormat="false" ht="14.6" hidden="false" customHeight="false" outlineLevel="0" collapsed="false">
      <c r="A46" s="95" t="s">
        <v>507</v>
      </c>
      <c r="B46" s="96" t="s">
        <v>508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tabColor rgb="FF92D050"/>
    <pageSetUpPr fitToPage="false"/>
  </sheetPr>
  <dimension ref="C1:E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6" activeCellId="0" sqref="C16"/>
    </sheetView>
  </sheetViews>
  <sheetFormatPr defaultRowHeight="14.6" zeroHeight="false" outlineLevelRow="0" outlineLevelCol="0"/>
  <cols>
    <col collapsed="false" customWidth="true" hidden="false" outlineLevel="0" max="2" min="1" style="0" width="8.75"/>
    <col collapsed="false" customWidth="true" hidden="false" outlineLevel="0" max="3" min="3" style="0" width="67.53"/>
    <col collapsed="false" customWidth="true" hidden="false" outlineLevel="0" max="4" min="4" style="0" width="39.3"/>
    <col collapsed="false" customWidth="true" hidden="false" outlineLevel="0" max="5" min="5" style="0" width="65.69"/>
    <col collapsed="false" customWidth="true" hidden="false" outlineLevel="0" max="1025" min="6" style="0" width="8.75"/>
  </cols>
  <sheetData>
    <row r="1" customFormat="false" ht="14.6" hidden="false" customHeight="false" outlineLevel="0" collapsed="false">
      <c r="C1" s="95" t="s">
        <v>509</v>
      </c>
      <c r="D1" s="95" t="s">
        <v>510</v>
      </c>
      <c r="E1" s="95" t="s">
        <v>511</v>
      </c>
    </row>
    <row r="2" customFormat="false" ht="14.6" hidden="false" customHeight="false" outlineLevel="0" collapsed="false">
      <c r="C2" s="99" t="s">
        <v>512</v>
      </c>
      <c r="D2" s="99" t="s">
        <v>513</v>
      </c>
      <c r="E2" s="99" t="s">
        <v>514</v>
      </c>
    </row>
    <row r="3" customFormat="false" ht="29.15" hidden="false" customHeight="false" outlineLevel="0" collapsed="false">
      <c r="C3" s="100" t="s">
        <v>515</v>
      </c>
      <c r="D3" s="99" t="s">
        <v>516</v>
      </c>
      <c r="E3" s="99" t="s">
        <v>514</v>
      </c>
    </row>
    <row r="4" customFormat="false" ht="14.6" hidden="false" customHeight="false" outlineLevel="0" collapsed="false">
      <c r="C4" s="99" t="s">
        <v>517</v>
      </c>
      <c r="D4" s="99" t="s">
        <v>518</v>
      </c>
      <c r="E4" s="99" t="s">
        <v>514</v>
      </c>
    </row>
    <row r="5" customFormat="false" ht="29.15" hidden="false" customHeight="false" outlineLevel="0" collapsed="false">
      <c r="C5" s="99"/>
      <c r="D5" s="99" t="s">
        <v>519</v>
      </c>
      <c r="E5" s="100" t="s">
        <v>520</v>
      </c>
    </row>
    <row r="6" customFormat="false" ht="14.6" hidden="false" customHeight="false" outlineLevel="0" collapsed="false">
      <c r="C6" s="95" t="s">
        <v>521</v>
      </c>
      <c r="D6" s="99" t="s">
        <v>522</v>
      </c>
      <c r="E6" s="99"/>
    </row>
    <row r="7" customFormat="false" ht="14.6" hidden="false" customHeight="false" outlineLevel="0" collapsed="false">
      <c r="C7" s="101" t="s">
        <v>523</v>
      </c>
      <c r="D7" s="99"/>
      <c r="E7" s="99"/>
    </row>
    <row r="8" customFormat="false" ht="14.6" hidden="false" customHeight="false" outlineLevel="0" collapsed="false">
      <c r="C8" s="101" t="s">
        <v>524</v>
      </c>
      <c r="D8" s="99"/>
      <c r="E8" s="99"/>
    </row>
    <row r="9" customFormat="false" ht="14.6" hidden="false" customHeight="false" outlineLevel="0" collapsed="false">
      <c r="C9" s="101" t="s">
        <v>525</v>
      </c>
      <c r="D9" s="99"/>
      <c r="E9" s="99"/>
    </row>
    <row r="10" customFormat="false" ht="14.6" hidden="false" customHeight="false" outlineLevel="0" collapsed="false">
      <c r="C10" s="101" t="s">
        <v>526</v>
      </c>
      <c r="D10" s="99"/>
      <c r="E10" s="99"/>
    </row>
    <row r="11" customFormat="false" ht="14.6" hidden="false" customHeight="false" outlineLevel="0" collapsed="false">
      <c r="C11" s="101" t="s">
        <v>527</v>
      </c>
      <c r="D11" s="99"/>
      <c r="E11" s="99"/>
    </row>
    <row r="12" customFormat="false" ht="14.6" hidden="false" customHeight="false" outlineLevel="0" collapsed="false">
      <c r="C12" s="101" t="s">
        <v>528</v>
      </c>
      <c r="D12" s="99"/>
      <c r="E12" s="99"/>
    </row>
    <row r="13" customFormat="false" ht="14.6" hidden="false" customHeight="false" outlineLevel="0" collapsed="false">
      <c r="C13" s="101" t="s">
        <v>529</v>
      </c>
      <c r="D13" s="99"/>
      <c r="E13" s="99"/>
    </row>
    <row r="14" customFormat="false" ht="14.6" hidden="false" customHeight="false" outlineLevel="0" collapsed="false">
      <c r="C14" s="101" t="s">
        <v>530</v>
      </c>
      <c r="D14" s="99"/>
      <c r="E14" s="99"/>
    </row>
    <row r="15" customFormat="false" ht="14.6" hidden="false" customHeight="false" outlineLevel="0" collapsed="false">
      <c r="C15" s="101" t="s">
        <v>531</v>
      </c>
      <c r="D15" s="99"/>
      <c r="E15" s="99"/>
    </row>
    <row r="16" customFormat="false" ht="14.6" hidden="false" customHeight="false" outlineLevel="0" collapsed="false">
      <c r="C16" s="101" t="s">
        <v>532</v>
      </c>
      <c r="D16" s="99"/>
      <c r="E16" s="99"/>
    </row>
    <row r="17" customFormat="false" ht="14.6" hidden="false" customHeight="false" outlineLevel="0" collapsed="false">
      <c r="C17" s="101" t="s">
        <v>533</v>
      </c>
      <c r="D17" s="99"/>
      <c r="E17" s="99"/>
    </row>
    <row r="18" customFormat="false" ht="14.6" hidden="false" customHeight="false" outlineLevel="0" collapsed="false">
      <c r="C18" s="101" t="s">
        <v>534</v>
      </c>
      <c r="D18" s="99"/>
      <c r="E18" s="99"/>
    </row>
    <row r="19" customFormat="false" ht="14.6" hidden="false" customHeight="false" outlineLevel="0" collapsed="false">
      <c r="C19" s="101" t="s">
        <v>535</v>
      </c>
      <c r="D19" s="99"/>
      <c r="E19" s="99"/>
    </row>
    <row r="20" customFormat="false" ht="14.6" hidden="false" customHeight="false" outlineLevel="0" collapsed="false">
      <c r="C20" s="101" t="s">
        <v>536</v>
      </c>
      <c r="D20" s="99"/>
      <c r="E20" s="99"/>
    </row>
    <row r="21" customFormat="false" ht="14.6" hidden="false" customHeight="false" outlineLevel="0" collapsed="false">
      <c r="C21" s="101" t="s">
        <v>537</v>
      </c>
      <c r="D21" s="99"/>
      <c r="E21" s="99"/>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tabColor rgb="FF92D050"/>
    <pageSetUpPr fitToPage="false"/>
  </sheetPr>
  <dimension ref="A1:B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1" activeCellId="0" sqref="D51"/>
    </sheetView>
  </sheetViews>
  <sheetFormatPr defaultRowHeight="14.6" zeroHeight="false" outlineLevelRow="0" outlineLevelCol="0"/>
  <cols>
    <col collapsed="false" customWidth="true" hidden="false" outlineLevel="0" max="1" min="1" style="0" width="68.53"/>
    <col collapsed="false" customWidth="true" hidden="false" outlineLevel="0" max="2" min="2" style="0" width="47.69"/>
    <col collapsed="false" customWidth="true" hidden="false" outlineLevel="0" max="1025" min="3" style="0" width="8.75"/>
  </cols>
  <sheetData>
    <row r="1" customFormat="false" ht="14.6" hidden="false" customHeight="false" outlineLevel="0" collapsed="false">
      <c r="A1" s="102" t="s">
        <v>538</v>
      </c>
      <c r="B1" s="102" t="s">
        <v>539</v>
      </c>
    </row>
    <row r="2" customFormat="false" ht="14.6" hidden="false" customHeight="false" outlineLevel="0" collapsed="false">
      <c r="A2" s="0" t="s">
        <v>540</v>
      </c>
    </row>
    <row r="3" customFormat="false" ht="14.6" hidden="false" customHeight="false" outlineLevel="0" collapsed="false">
      <c r="A3" s="0" t="s">
        <v>541</v>
      </c>
      <c r="B3" s="0" t="s">
        <v>542</v>
      </c>
    </row>
    <row r="4" customFormat="false" ht="29.15" hidden="false" customHeight="false" outlineLevel="0" collapsed="false">
      <c r="A4" s="8" t="s">
        <v>543</v>
      </c>
    </row>
    <row r="5" customFormat="false" ht="29.15" hidden="false" customHeight="false" outlineLevel="0" collapsed="false">
      <c r="A5" s="8" t="s">
        <v>544</v>
      </c>
      <c r="B5" s="0" t="s">
        <v>545</v>
      </c>
    </row>
    <row r="6" customFormat="false" ht="14.6" hidden="false" customHeight="false" outlineLevel="0" collapsed="false">
      <c r="A6" s="0" t="s">
        <v>546</v>
      </c>
    </row>
    <row r="7" customFormat="false" ht="14.6" hidden="false" customHeight="false" outlineLevel="0" collapsed="false">
      <c r="A7" s="90" t="s">
        <v>547</v>
      </c>
      <c r="B7" s="0" t="s">
        <v>548</v>
      </c>
    </row>
    <row r="8" customFormat="false" ht="14.6" hidden="false" customHeight="false" outlineLevel="0" collapsed="false">
      <c r="B8" s="0" t="s">
        <v>549</v>
      </c>
    </row>
    <row r="9" customFormat="false" ht="14.6" hidden="false" customHeight="false" outlineLevel="0" collapsed="false">
      <c r="B9" s="0" t="s">
        <v>550</v>
      </c>
    </row>
    <row r="10" customFormat="false" ht="14.6" hidden="false" customHeight="false" outlineLevel="0" collapsed="false">
      <c r="B10" s="0" t="s">
        <v>551</v>
      </c>
    </row>
    <row r="11" customFormat="false" ht="14.6" hidden="false" customHeight="false" outlineLevel="0" collapsed="false">
      <c r="B11" s="0" t="s">
        <v>552</v>
      </c>
    </row>
    <row r="12" customFormat="false" ht="14.6" hidden="false" customHeight="false" outlineLevel="0" collapsed="false">
      <c r="B12" s="0" t="s">
        <v>553</v>
      </c>
    </row>
    <row r="13" customFormat="false" ht="14.6" hidden="false" customHeight="false" outlineLevel="0" collapsed="false">
      <c r="A13" s="90" t="s">
        <v>554</v>
      </c>
    </row>
    <row r="14" customFormat="false" ht="14.6" hidden="false" customHeight="false" outlineLevel="0" collapsed="false">
      <c r="B14" s="0" t="s">
        <v>555</v>
      </c>
    </row>
    <row r="15" customFormat="false" ht="14.6" hidden="false" customHeight="false" outlineLevel="0" collapsed="false">
      <c r="A15" s="90" t="s">
        <v>556</v>
      </c>
    </row>
    <row r="16" customFormat="false" ht="14.6" hidden="false" customHeight="false" outlineLevel="0" collapsed="false">
      <c r="B16" s="0" t="s">
        <v>557</v>
      </c>
    </row>
    <row r="17" customFormat="false" ht="14.6" hidden="false" customHeight="false" outlineLevel="0" collapsed="false">
      <c r="B17" s="0" t="s">
        <v>558</v>
      </c>
    </row>
    <row r="18" customFormat="false" ht="14.6" hidden="false" customHeight="false" outlineLevel="0" collapsed="false">
      <c r="B18" s="0" t="s">
        <v>559</v>
      </c>
    </row>
    <row r="19" customFormat="false" ht="14.6" hidden="false" customHeight="false" outlineLevel="0" collapsed="false">
      <c r="A19" s="90" t="s">
        <v>560</v>
      </c>
    </row>
    <row r="20" customFormat="false" ht="14.6" hidden="false" customHeight="false" outlineLevel="0" collapsed="false">
      <c r="A20" s="90"/>
      <c r="B20" s="0" t="s">
        <v>561</v>
      </c>
    </row>
    <row r="21" customFormat="false" ht="14.6" hidden="false" customHeight="false" outlineLevel="0" collapsed="false">
      <c r="A21" s="90" t="s">
        <v>562</v>
      </c>
    </row>
    <row r="22" customFormat="false" ht="14.6" hidden="false" customHeight="false" outlineLevel="0" collapsed="false">
      <c r="B22" s="0" t="s">
        <v>563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tabColor rgb="FF8FAADC"/>
    <pageSetUpPr fitToPage="false"/>
  </sheetPr>
  <dimension ref="A1:G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0" activeCellId="0" sqref="B10"/>
    </sheetView>
  </sheetViews>
  <sheetFormatPr defaultRowHeight="14.6" zeroHeight="false" outlineLevelRow="0" outlineLevelCol="0"/>
  <cols>
    <col collapsed="false" customWidth="true" hidden="false" outlineLevel="0" max="1" min="1" style="0" width="34"/>
    <col collapsed="false" customWidth="true" hidden="false" outlineLevel="0" max="2" min="2" style="0" width="78.15"/>
    <col collapsed="false" customWidth="true" hidden="false" outlineLevel="0" max="3" min="3" style="0" width="8.75"/>
    <col collapsed="false" customWidth="true" hidden="false" outlineLevel="0" max="4" min="4" style="0" width="24.15"/>
    <col collapsed="false" customWidth="true" hidden="false" outlineLevel="0" max="5" min="5" style="0" width="32.16"/>
    <col collapsed="false" customWidth="true" hidden="false" outlineLevel="0" max="6" min="6" style="0" width="18.7"/>
    <col collapsed="false" customWidth="true" hidden="false" outlineLevel="0" max="7" min="7" style="0" width="32.31"/>
    <col collapsed="false" customWidth="true" hidden="false" outlineLevel="0" max="1025" min="8" style="0" width="8.75"/>
  </cols>
  <sheetData>
    <row r="1" customFormat="false" ht="14.6" hidden="false" customHeight="false" outlineLevel="0" collapsed="false">
      <c r="A1" s="95" t="s">
        <v>564</v>
      </c>
      <c r="D1" s="95" t="s">
        <v>565</v>
      </c>
      <c r="E1" s="95" t="s">
        <v>566</v>
      </c>
    </row>
    <row r="2" customFormat="false" ht="14.6" hidden="false" customHeight="false" outlineLevel="0" collapsed="false">
      <c r="B2" s="0" t="s">
        <v>567</v>
      </c>
    </row>
    <row r="3" customFormat="false" ht="14.6" hidden="false" customHeight="false" outlineLevel="0" collapsed="false">
      <c r="B3" s="0" t="s">
        <v>568</v>
      </c>
      <c r="D3" s="95" t="s">
        <v>569</v>
      </c>
      <c r="E3" s="95" t="s">
        <v>570</v>
      </c>
      <c r="F3" s="95" t="s">
        <v>571</v>
      </c>
      <c r="G3" s="95" t="s">
        <v>572</v>
      </c>
    </row>
    <row r="4" customFormat="false" ht="14.6" hidden="false" customHeight="false" outlineLevel="0" collapsed="false">
      <c r="B4" s="0" t="s">
        <v>573</v>
      </c>
      <c r="D4" s="96" t="s">
        <v>574</v>
      </c>
      <c r="E4" s="96" t="s">
        <v>575</v>
      </c>
      <c r="F4" s="96" t="s">
        <v>576</v>
      </c>
      <c r="G4" s="96" t="s">
        <v>577</v>
      </c>
    </row>
    <row r="5" customFormat="false" ht="14.6" hidden="false" customHeight="false" outlineLevel="0" collapsed="false">
      <c r="D5" s="96" t="s">
        <v>578</v>
      </c>
      <c r="E5" s="96" t="s">
        <v>579</v>
      </c>
      <c r="F5" s="96" t="s">
        <v>580</v>
      </c>
      <c r="G5" s="96" t="s">
        <v>581</v>
      </c>
    </row>
    <row r="6" customFormat="false" ht="14.6" hidden="false" customHeight="false" outlineLevel="0" collapsed="false">
      <c r="A6" s="95" t="s">
        <v>582</v>
      </c>
      <c r="D6" s="96" t="s">
        <v>583</v>
      </c>
      <c r="E6" s="96" t="s">
        <v>584</v>
      </c>
      <c r="F6" s="96" t="s">
        <v>580</v>
      </c>
      <c r="G6" s="96" t="s">
        <v>581</v>
      </c>
    </row>
    <row r="7" customFormat="false" ht="14.6" hidden="false" customHeight="false" outlineLevel="0" collapsed="false">
      <c r="B7" s="0" t="s">
        <v>585</v>
      </c>
    </row>
    <row r="8" customFormat="false" ht="14.6" hidden="false" customHeight="false" outlineLevel="0" collapsed="false">
      <c r="B8" s="0" t="s">
        <v>586</v>
      </c>
    </row>
    <row r="9" customFormat="false" ht="14.6" hidden="false" customHeight="false" outlineLevel="0" collapsed="false">
      <c r="B9" s="0" t="s">
        <v>587</v>
      </c>
    </row>
    <row r="10" customFormat="false" ht="14.6" hidden="false" customHeight="false" outlineLevel="0" collapsed="false">
      <c r="B10" s="0" t="s">
        <v>588</v>
      </c>
    </row>
    <row r="12" customFormat="false" ht="14.6" hidden="false" customHeight="false" outlineLevel="0" collapsed="false">
      <c r="A12" s="95" t="s">
        <v>589</v>
      </c>
    </row>
    <row r="13" customFormat="false" ht="14.6" hidden="false" customHeight="false" outlineLevel="0" collapsed="false">
      <c r="B13" s="0" t="s">
        <v>590</v>
      </c>
    </row>
    <row r="14" customFormat="false" ht="14.6" hidden="false" customHeight="false" outlineLevel="0" collapsed="false">
      <c r="B14" s="0" t="s">
        <v>591</v>
      </c>
    </row>
    <row r="15" customFormat="false" ht="14.6" hidden="false" customHeight="false" outlineLevel="0" collapsed="false">
      <c r="B15" s="0" t="s">
        <v>592</v>
      </c>
    </row>
    <row r="16" customFormat="false" ht="14.6" hidden="false" customHeight="false" outlineLevel="0" collapsed="false">
      <c r="B16" s="0" t="s">
        <v>593</v>
      </c>
    </row>
    <row r="17" customFormat="false" ht="14.6" hidden="false" customHeight="false" outlineLevel="0" collapsed="false">
      <c r="B17" s="0" t="s">
        <v>594</v>
      </c>
    </row>
    <row r="18" customFormat="false" ht="14.6" hidden="false" customHeight="false" outlineLevel="0" collapsed="false">
      <c r="B18" s="0" t="s">
        <v>595</v>
      </c>
    </row>
    <row r="20" customFormat="false" ht="14.6" hidden="false" customHeight="false" outlineLevel="0" collapsed="false">
      <c r="A20" s="95" t="s">
        <v>596</v>
      </c>
    </row>
    <row r="21" customFormat="false" ht="14.6" hidden="false" customHeight="false" outlineLevel="0" collapsed="false">
      <c r="B21" s="0" t="s">
        <v>597</v>
      </c>
    </row>
    <row r="22" customFormat="false" ht="14.6" hidden="false" customHeight="false" outlineLevel="0" collapsed="false">
      <c r="B22" s="0" t="s">
        <v>598</v>
      </c>
    </row>
    <row r="23" customFormat="false" ht="14.6" hidden="false" customHeight="false" outlineLevel="0" collapsed="false">
      <c r="B23" s="0" t="s">
        <v>599</v>
      </c>
    </row>
    <row r="24" customFormat="false" ht="14.6" hidden="false" customHeight="false" outlineLevel="0" collapsed="false">
      <c r="A24" s="95" t="s">
        <v>600</v>
      </c>
    </row>
    <row r="25" customFormat="false" ht="14.6" hidden="false" customHeight="false" outlineLevel="0" collapsed="false">
      <c r="B25" s="0" t="s">
        <v>601</v>
      </c>
    </row>
    <row r="26" customFormat="false" ht="14.6" hidden="false" customHeight="false" outlineLevel="0" collapsed="false">
      <c r="B26" s="0" t="s">
        <v>602</v>
      </c>
    </row>
    <row r="28" customFormat="false" ht="14.6" hidden="false" customHeight="false" outlineLevel="0" collapsed="false">
      <c r="A28" s="95" t="s">
        <v>603</v>
      </c>
    </row>
    <row r="29" customFormat="false" ht="14.6" hidden="false" customHeight="false" outlineLevel="0" collapsed="false">
      <c r="B29" s="0" t="s">
        <v>604</v>
      </c>
    </row>
    <row r="30" customFormat="false" ht="14.6" hidden="false" customHeight="false" outlineLevel="0" collapsed="false">
      <c r="B30" s="0" t="s">
        <v>605</v>
      </c>
    </row>
    <row r="31" customFormat="false" ht="14.6" hidden="false" customHeight="false" outlineLevel="0" collapsed="false">
      <c r="B31" s="0" t="s">
        <v>606</v>
      </c>
    </row>
    <row r="32" customFormat="false" ht="14.6" hidden="false" customHeight="false" outlineLevel="0" collapsed="false">
      <c r="B32" s="0" t="s">
        <v>607</v>
      </c>
    </row>
    <row r="33" customFormat="false" ht="14.6" hidden="false" customHeight="false" outlineLevel="0" collapsed="false">
      <c r="B33" s="0" t="s">
        <v>608</v>
      </c>
    </row>
    <row r="34" customFormat="false" ht="14.6" hidden="false" customHeight="false" outlineLevel="0" collapsed="false">
      <c r="A34" s="95" t="s">
        <v>609</v>
      </c>
    </row>
    <row r="35" customFormat="false" ht="14.6" hidden="false" customHeight="false" outlineLevel="0" collapsed="false">
      <c r="B35" s="0" t="s">
        <v>610</v>
      </c>
    </row>
    <row r="36" customFormat="false" ht="14.6" hidden="false" customHeight="false" outlineLevel="0" collapsed="false">
      <c r="B36" s="0" t="s">
        <v>611</v>
      </c>
    </row>
    <row r="37" customFormat="false" ht="14.6" hidden="false" customHeight="false" outlineLevel="0" collapsed="false">
      <c r="B37" s="0" t="s">
        <v>612</v>
      </c>
    </row>
    <row r="38" customFormat="false" ht="14.6" hidden="false" customHeight="false" outlineLevel="0" collapsed="false">
      <c r="B38" s="0" t="s">
        <v>613</v>
      </c>
    </row>
    <row r="39" customFormat="false" ht="14.6" hidden="false" customHeight="false" outlineLevel="0" collapsed="false">
      <c r="B39" s="0" t="s">
        <v>614</v>
      </c>
    </row>
    <row r="40" customFormat="false" ht="14.6" hidden="false" customHeight="false" outlineLevel="0" collapsed="false">
      <c r="B40" s="0" t="s">
        <v>615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tabColor rgb="FF8FAADC"/>
    <pageSetUpPr fitToPage="false"/>
  </sheetPr>
  <dimension ref="A1:C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RowHeight="14.6" zeroHeight="false" outlineLevelRow="0" outlineLevelCol="0"/>
  <cols>
    <col collapsed="false" customWidth="true" hidden="false" outlineLevel="0" max="1" min="1" style="0" width="55.39"/>
    <col collapsed="false" customWidth="true" hidden="false" outlineLevel="0" max="2" min="2" style="0" width="32"/>
    <col collapsed="false" customWidth="true" hidden="false" outlineLevel="0" max="3" min="3" style="0" width="71.15"/>
    <col collapsed="false" customWidth="true" hidden="false" outlineLevel="0" max="1025" min="4" style="0" width="8.75"/>
  </cols>
  <sheetData>
    <row r="1" customFormat="false" ht="15" hidden="false" customHeight="true" outlineLevel="0" collapsed="false">
      <c r="A1" s="103" t="s">
        <v>616</v>
      </c>
      <c r="B1" s="0" t="s">
        <v>617</v>
      </c>
      <c r="C1" s="0" t="s">
        <v>618</v>
      </c>
    </row>
    <row r="2" customFormat="false" ht="14.6" hidden="false" customHeight="false" outlineLevel="0" collapsed="false">
      <c r="A2" s="103"/>
      <c r="B2" s="0" t="s">
        <v>619</v>
      </c>
      <c r="C2" s="0" t="s">
        <v>620</v>
      </c>
    </row>
    <row r="3" customFormat="false" ht="14.6" hidden="false" customHeight="false" outlineLevel="0" collapsed="false">
      <c r="A3" s="103"/>
      <c r="B3" s="0" t="s">
        <v>621</v>
      </c>
      <c r="C3" s="0" t="s">
        <v>622</v>
      </c>
    </row>
    <row r="4" customFormat="false" ht="14.6" hidden="false" customHeight="false" outlineLevel="0" collapsed="false">
      <c r="A4" s="103"/>
      <c r="B4" s="0" t="s">
        <v>623</v>
      </c>
      <c r="C4" s="0" t="s">
        <v>624</v>
      </c>
    </row>
    <row r="5" customFormat="false" ht="14.6" hidden="false" customHeight="false" outlineLevel="0" collapsed="false">
      <c r="A5" s="103"/>
      <c r="B5" s="0" t="s">
        <v>625</v>
      </c>
      <c r="C5" s="0" t="s">
        <v>626</v>
      </c>
    </row>
  </sheetData>
  <mergeCells count="1">
    <mergeCell ref="A1:A5"/>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tabColor rgb="FF8FAADC"/>
    <pageSetUpPr fitToPage="false"/>
  </sheetPr>
  <dimension ref="A1:D33"/>
  <sheetViews>
    <sheetView showFormulas="false" showGridLines="true" showRowColHeaders="true" showZeros="true" rightToLeft="false" tabSelected="false" showOutlineSymbols="true" defaultGridColor="true" view="normal" topLeftCell="B2" colorId="64" zoomScale="85" zoomScaleNormal="85" zoomScalePageLayoutView="100" workbookViewId="0">
      <selection pane="topLeft" activeCell="C15" activeCellId="0" sqref="C15"/>
    </sheetView>
  </sheetViews>
  <sheetFormatPr defaultRowHeight="14.6" zeroHeight="false" outlineLevelRow="0" outlineLevelCol="0"/>
  <cols>
    <col collapsed="false" customWidth="true" hidden="false" outlineLevel="0" max="1" min="1" style="0" width="27.54"/>
    <col collapsed="false" customWidth="true" hidden="false" outlineLevel="0" max="2" min="2" style="0" width="31"/>
    <col collapsed="false" customWidth="true" hidden="false" outlineLevel="0" max="3" min="3" style="0" width="166.69"/>
    <col collapsed="false" customWidth="true" hidden="false" outlineLevel="0" max="4" min="4" style="0" width="33.31"/>
    <col collapsed="false" customWidth="true" hidden="false" outlineLevel="0" max="1025" min="5" style="0" width="8.75"/>
  </cols>
  <sheetData>
    <row r="1" customFormat="false" ht="14.6" hidden="false" customHeight="false" outlineLevel="0" collapsed="false">
      <c r="B1" s="104" t="s">
        <v>627</v>
      </c>
      <c r="C1" s="104" t="s">
        <v>1</v>
      </c>
    </row>
    <row r="2" customFormat="false" ht="15" hidden="false" customHeight="true" outlineLevel="0" collapsed="false">
      <c r="A2" s="105" t="s">
        <v>628</v>
      </c>
      <c r="B2" s="106" t="s">
        <v>629</v>
      </c>
      <c r="C2" s="106" t="s">
        <v>630</v>
      </c>
    </row>
    <row r="3" customFormat="false" ht="14.6" hidden="false" customHeight="false" outlineLevel="0" collapsed="false">
      <c r="A3" s="105"/>
      <c r="B3" s="106" t="s">
        <v>631</v>
      </c>
      <c r="C3" s="106" t="s">
        <v>632</v>
      </c>
    </row>
    <row r="4" customFormat="false" ht="29.15" hidden="false" customHeight="false" outlineLevel="0" collapsed="false">
      <c r="A4" s="105"/>
      <c r="B4" s="106" t="s">
        <v>633</v>
      </c>
      <c r="C4" s="107" t="s">
        <v>634</v>
      </c>
    </row>
    <row r="5" customFormat="false" ht="58.3" hidden="false" customHeight="false" outlineLevel="0" collapsed="false">
      <c r="A5" s="105"/>
      <c r="B5" s="106" t="s">
        <v>635</v>
      </c>
      <c r="C5" s="107" t="s">
        <v>636</v>
      </c>
    </row>
    <row r="6" customFormat="false" ht="43.75" hidden="false" customHeight="false" outlineLevel="0" collapsed="false">
      <c r="A6" s="105"/>
      <c r="B6" s="106" t="s">
        <v>637</v>
      </c>
      <c r="C6" s="107" t="s">
        <v>638</v>
      </c>
    </row>
    <row r="7" customFormat="false" ht="14.6" hidden="false" customHeight="false" outlineLevel="0" collapsed="false">
      <c r="A7" s="105"/>
      <c r="B7" s="106" t="s">
        <v>639</v>
      </c>
      <c r="C7" s="106" t="s">
        <v>640</v>
      </c>
    </row>
    <row r="8" customFormat="false" ht="14.6" hidden="false" customHeight="false" outlineLevel="0" collapsed="false">
      <c r="A8" s="105"/>
      <c r="B8" s="106" t="s">
        <v>641</v>
      </c>
      <c r="C8" s="106" t="s">
        <v>642</v>
      </c>
    </row>
    <row r="9" customFormat="false" ht="29.15" hidden="false" customHeight="false" outlineLevel="0" collapsed="false">
      <c r="A9" s="105"/>
      <c r="B9" s="106" t="s">
        <v>643</v>
      </c>
      <c r="C9" s="107" t="s">
        <v>644</v>
      </c>
    </row>
    <row r="10" customFormat="false" ht="29.15" hidden="false" customHeight="false" outlineLevel="0" collapsed="false">
      <c r="A10" s="105"/>
      <c r="B10" s="106" t="s">
        <v>645</v>
      </c>
      <c r="C10" s="107" t="s">
        <v>646</v>
      </c>
    </row>
    <row r="11" customFormat="false" ht="14.6" hidden="false" customHeight="false" outlineLevel="0" collapsed="false">
      <c r="A11" s="105"/>
      <c r="B11" s="106" t="s">
        <v>647</v>
      </c>
      <c r="C11" s="106" t="s">
        <v>648</v>
      </c>
    </row>
    <row r="12" customFormat="false" ht="29.15" hidden="false" customHeight="false" outlineLevel="0" collapsed="false">
      <c r="A12" s="105"/>
      <c r="B12" s="106" t="s">
        <v>649</v>
      </c>
      <c r="C12" s="107" t="s">
        <v>650</v>
      </c>
    </row>
    <row r="13" customFormat="false" ht="29.15" hidden="false" customHeight="false" outlineLevel="0" collapsed="false">
      <c r="A13" s="105"/>
      <c r="B13" s="106" t="s">
        <v>651</v>
      </c>
      <c r="C13" s="107" t="s">
        <v>652</v>
      </c>
    </row>
    <row r="14" customFormat="false" ht="14.6" hidden="false" customHeight="false" outlineLevel="0" collapsed="false">
      <c r="A14" s="105"/>
      <c r="B14" s="106" t="s">
        <v>653</v>
      </c>
      <c r="C14" s="106" t="s">
        <v>654</v>
      </c>
    </row>
    <row r="15" customFormat="false" ht="14.6" hidden="false" customHeight="false" outlineLevel="0" collapsed="false">
      <c r="A15" s="105"/>
      <c r="B15" s="106" t="s">
        <v>655</v>
      </c>
      <c r="C15" s="106" t="s">
        <v>656</v>
      </c>
    </row>
    <row r="16" customFormat="false" ht="14.6" hidden="false" customHeight="false" outlineLevel="0" collapsed="false">
      <c r="A16" s="105"/>
      <c r="B16" s="106" t="s">
        <v>657</v>
      </c>
      <c r="C16" s="106" t="s">
        <v>658</v>
      </c>
    </row>
    <row r="17" customFormat="false" ht="29.15" hidden="false" customHeight="false" outlineLevel="0" collapsed="false">
      <c r="A17" s="105"/>
      <c r="B17" s="106" t="s">
        <v>659</v>
      </c>
      <c r="C17" s="107" t="s">
        <v>660</v>
      </c>
    </row>
    <row r="18" customFormat="false" ht="14.6" hidden="false" customHeight="false" outlineLevel="0" collapsed="false">
      <c r="A18" s="105"/>
      <c r="B18" s="106" t="s">
        <v>661</v>
      </c>
      <c r="C18" s="106" t="s">
        <v>662</v>
      </c>
    </row>
    <row r="19" customFormat="false" ht="14.6" hidden="false" customHeight="false" outlineLevel="0" collapsed="false">
      <c r="A19" s="105"/>
      <c r="B19" s="106" t="s">
        <v>663</v>
      </c>
      <c r="C19" s="106" t="s">
        <v>664</v>
      </c>
    </row>
    <row r="20" customFormat="false" ht="14.6" hidden="false" customHeight="false" outlineLevel="0" collapsed="false">
      <c r="A20" s="105"/>
      <c r="B20" s="106" t="s">
        <v>665</v>
      </c>
      <c r="C20" s="106" t="s">
        <v>666</v>
      </c>
    </row>
    <row r="21" customFormat="false" ht="24" hidden="false" customHeight="false" outlineLevel="0" collapsed="false">
      <c r="A21" s="108" t="s">
        <v>667</v>
      </c>
      <c r="B21" s="106" t="s">
        <v>668</v>
      </c>
      <c r="C21" s="106" t="s">
        <v>669</v>
      </c>
      <c r="D21" s="109" t="s">
        <v>670</v>
      </c>
    </row>
    <row r="22" customFormat="false" ht="24" hidden="false" customHeight="false" outlineLevel="0" collapsed="false">
      <c r="A22" s="108"/>
      <c r="B22" s="106" t="s">
        <v>671</v>
      </c>
      <c r="C22" s="106" t="s">
        <v>672</v>
      </c>
      <c r="D22" s="109" t="s">
        <v>670</v>
      </c>
    </row>
    <row r="23" customFormat="false" ht="24" hidden="false" customHeight="false" outlineLevel="0" collapsed="false">
      <c r="A23" s="108"/>
      <c r="B23" s="106" t="s">
        <v>673</v>
      </c>
      <c r="C23" s="106" t="s">
        <v>674</v>
      </c>
      <c r="D23" s="109" t="s">
        <v>670</v>
      </c>
    </row>
    <row r="24" customFormat="false" ht="24" hidden="false" customHeight="false" outlineLevel="0" collapsed="false">
      <c r="A24" s="108"/>
      <c r="B24" s="106" t="s">
        <v>675</v>
      </c>
      <c r="C24" s="107" t="s">
        <v>676</v>
      </c>
      <c r="D24" s="109" t="s">
        <v>677</v>
      </c>
    </row>
    <row r="25" customFormat="false" ht="14.6" hidden="false" customHeight="false" outlineLevel="0" collapsed="false">
      <c r="A25" s="108"/>
      <c r="B25" s="106" t="s">
        <v>678</v>
      </c>
      <c r="C25" s="106" t="s">
        <v>679</v>
      </c>
      <c r="D25" s="109" t="s">
        <v>680</v>
      </c>
    </row>
    <row r="26" customFormat="false" ht="14.6" hidden="false" customHeight="false" outlineLevel="0" collapsed="false">
      <c r="A26" s="108"/>
      <c r="B26" s="106" t="s">
        <v>681</v>
      </c>
      <c r="C26" s="106" t="s">
        <v>682</v>
      </c>
      <c r="D26" s="109"/>
    </row>
    <row r="27" customFormat="false" ht="14.6" hidden="false" customHeight="false" outlineLevel="0" collapsed="false">
      <c r="A27" s="108"/>
      <c r="B27" s="106" t="s">
        <v>683</v>
      </c>
      <c r="C27" s="106" t="s">
        <v>684</v>
      </c>
      <c r="D27" s="109" t="s">
        <v>685</v>
      </c>
    </row>
    <row r="28" customFormat="false" ht="14.6" hidden="false" customHeight="false" outlineLevel="0" collapsed="false">
      <c r="A28" s="108"/>
      <c r="B28" s="106" t="s">
        <v>686</v>
      </c>
      <c r="C28" s="106" t="s">
        <v>687</v>
      </c>
      <c r="D28" s="109" t="s">
        <v>688</v>
      </c>
    </row>
    <row r="29" customFormat="false" ht="14.6" hidden="false" customHeight="false" outlineLevel="0" collapsed="false">
      <c r="A29" s="108"/>
      <c r="B29" s="106" t="s">
        <v>689</v>
      </c>
      <c r="C29" s="106" t="s">
        <v>690</v>
      </c>
      <c r="D29" s="109" t="s">
        <v>691</v>
      </c>
    </row>
    <row r="30" customFormat="false" ht="14.6" hidden="false" customHeight="false" outlineLevel="0" collapsed="false">
      <c r="A30" s="108"/>
      <c r="B30" s="106" t="s">
        <v>692</v>
      </c>
      <c r="C30" s="107" t="s">
        <v>693</v>
      </c>
      <c r="D30" s="109"/>
    </row>
    <row r="31" customFormat="false" ht="24" hidden="false" customHeight="false" outlineLevel="0" collapsed="false">
      <c r="A31" s="108"/>
      <c r="B31" s="106" t="s">
        <v>694</v>
      </c>
      <c r="C31" s="106" t="s">
        <v>695</v>
      </c>
      <c r="D31" s="109" t="s">
        <v>696</v>
      </c>
    </row>
    <row r="32" customFormat="false" ht="14.6" hidden="false" customHeight="false" outlineLevel="0" collapsed="false">
      <c r="A32" s="108"/>
      <c r="B32" s="106" t="s">
        <v>697</v>
      </c>
      <c r="C32" s="106" t="s">
        <v>698</v>
      </c>
      <c r="D32" s="109" t="s">
        <v>699</v>
      </c>
    </row>
    <row r="33" customFormat="false" ht="14.6" hidden="false" customHeight="false" outlineLevel="0" collapsed="false">
      <c r="A33" s="108"/>
      <c r="B33" s="106" t="s">
        <v>700</v>
      </c>
      <c r="C33" s="107" t="s">
        <v>701</v>
      </c>
      <c r="D33" s="109" t="s">
        <v>702</v>
      </c>
    </row>
  </sheetData>
  <mergeCells count="2">
    <mergeCell ref="A2:A20"/>
    <mergeCell ref="A21:A3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tabColor rgb="FF8FAADC"/>
    <pageSetUpPr fitToPage="true"/>
  </sheetPr>
  <dimension ref="E1:K31"/>
  <sheetViews>
    <sheetView showFormulas="false" showGridLines="true" showRowColHeaders="true" showZeros="true" rightToLeft="false" tabSelected="false" showOutlineSymbols="true" defaultGridColor="true" view="normal" topLeftCell="D4" colorId="64" zoomScale="100" zoomScaleNormal="100" zoomScalePageLayoutView="100" workbookViewId="0">
      <selection pane="topLeft" activeCell="M26" activeCellId="0" sqref="M26"/>
    </sheetView>
  </sheetViews>
  <sheetFormatPr defaultRowHeight="14.6" zeroHeight="false" outlineLevelRow="0" outlineLevelCol="0"/>
  <cols>
    <col collapsed="false" customWidth="true" hidden="false" outlineLevel="0" max="1" min="1" style="0" width="8.75"/>
    <col collapsed="false" customWidth="true" hidden="false" outlineLevel="0" max="2" min="2" style="0" width="4.53"/>
    <col collapsed="false" customWidth="true" hidden="true" outlineLevel="0" max="3" min="3" style="0" width="9.3"/>
    <col collapsed="false" customWidth="true" hidden="false" outlineLevel="0" max="4" min="4" style="0" width="3.53"/>
    <col collapsed="false" customWidth="true" hidden="false" outlineLevel="0" max="5" min="5" style="110" width="33.69"/>
    <col collapsed="false" customWidth="true" hidden="false" outlineLevel="0" max="7" min="6" style="110" width="9.3"/>
    <col collapsed="false" customWidth="true" hidden="false" outlineLevel="0" max="8" min="8" style="110" width="64.16"/>
    <col collapsed="false" customWidth="true" hidden="false" outlineLevel="0" max="10" min="9" style="110" width="9.3"/>
    <col collapsed="false" customWidth="true" hidden="false" outlineLevel="0" max="11" min="11" style="110" width="47.53"/>
    <col collapsed="false" customWidth="true" hidden="false" outlineLevel="0" max="1025" min="12" style="0" width="8.75"/>
  </cols>
  <sheetData>
    <row r="1" customFormat="false" ht="14.6" hidden="false" customHeight="false" outlineLevel="0" collapsed="false">
      <c r="H1" s="111" t="s">
        <v>703</v>
      </c>
    </row>
    <row r="2" customFormat="false" ht="14.6" hidden="false" customHeight="false" outlineLevel="0" collapsed="false">
      <c r="H2" s="111" t="s">
        <v>704</v>
      </c>
    </row>
    <row r="4" customFormat="false" ht="14.6" hidden="false" customHeight="false" outlineLevel="0" collapsed="false">
      <c r="E4" s="112" t="s">
        <v>705</v>
      </c>
      <c r="H4" s="112" t="s">
        <v>706</v>
      </c>
      <c r="K4" s="112" t="s">
        <v>707</v>
      </c>
    </row>
    <row r="5" customFormat="false" ht="14.6" hidden="false" customHeight="false" outlineLevel="0" collapsed="false">
      <c r="E5" s="113" t="s">
        <v>708</v>
      </c>
      <c r="H5" s="110" t="s">
        <v>709</v>
      </c>
      <c r="K5" s="110" t="s">
        <v>710</v>
      </c>
    </row>
    <row r="6" customFormat="false" ht="14.6" hidden="false" customHeight="false" outlineLevel="0" collapsed="false">
      <c r="E6" s="113" t="s">
        <v>711</v>
      </c>
      <c r="H6" s="110" t="s">
        <v>712</v>
      </c>
      <c r="K6" s="110" t="s">
        <v>713</v>
      </c>
    </row>
    <row r="7" customFormat="false" ht="14.6" hidden="false" customHeight="false" outlineLevel="0" collapsed="false">
      <c r="E7" s="113" t="s">
        <v>714</v>
      </c>
      <c r="H7" s="110" t="s">
        <v>715</v>
      </c>
      <c r="K7" s="110" t="s">
        <v>716</v>
      </c>
    </row>
    <row r="8" customFormat="false" ht="14.6" hidden="false" customHeight="false" outlineLevel="0" collapsed="false">
      <c r="E8" s="113" t="s">
        <v>717</v>
      </c>
      <c r="H8" s="110" t="s">
        <v>718</v>
      </c>
      <c r="K8" s="110" t="s">
        <v>719</v>
      </c>
    </row>
    <row r="9" customFormat="false" ht="14.6" hidden="false" customHeight="false" outlineLevel="0" collapsed="false">
      <c r="E9" s="113" t="s">
        <v>720</v>
      </c>
      <c r="H9" s="110" t="s">
        <v>721</v>
      </c>
      <c r="K9" s="110" t="s">
        <v>722</v>
      </c>
    </row>
    <row r="10" customFormat="false" ht="14.6" hidden="false" customHeight="false" outlineLevel="0" collapsed="false">
      <c r="H10" s="110" t="s">
        <v>723</v>
      </c>
      <c r="K10" s="110" t="s">
        <v>724</v>
      </c>
    </row>
    <row r="11" customFormat="false" ht="14.6" hidden="false" customHeight="false" outlineLevel="0" collapsed="false">
      <c r="H11" s="110" t="s">
        <v>725</v>
      </c>
      <c r="K11" s="110" t="s">
        <v>726</v>
      </c>
    </row>
    <row r="12" customFormat="false" ht="14.6" hidden="false" customHeight="false" outlineLevel="0" collapsed="false">
      <c r="H12" s="110" t="s">
        <v>727</v>
      </c>
      <c r="K12" s="114" t="s">
        <v>728</v>
      </c>
    </row>
    <row r="13" customFormat="false" ht="14.6" hidden="false" customHeight="false" outlineLevel="0" collapsed="false">
      <c r="E13" s="113"/>
      <c r="K13" s="110" t="s">
        <v>729</v>
      </c>
    </row>
    <row r="14" customFormat="false" ht="14.6" hidden="false" customHeight="false" outlineLevel="0" collapsed="false">
      <c r="K14" s="110" t="s">
        <v>730</v>
      </c>
    </row>
    <row r="15" customFormat="false" ht="14.6" hidden="false" customHeight="false" outlineLevel="0" collapsed="false">
      <c r="E15" s="115" t="s">
        <v>731</v>
      </c>
      <c r="H15" s="115" t="s">
        <v>731</v>
      </c>
      <c r="K15" s="115" t="s">
        <v>731</v>
      </c>
    </row>
    <row r="16" customFormat="false" ht="14.6" hidden="false" customHeight="false" outlineLevel="0" collapsed="false">
      <c r="E16" s="115" t="s">
        <v>732</v>
      </c>
      <c r="H16" s="115" t="s">
        <v>733</v>
      </c>
      <c r="K16" s="116" t="s">
        <v>734</v>
      </c>
    </row>
    <row r="17" customFormat="false" ht="14.6" hidden="false" customHeight="false" outlineLevel="0" collapsed="false">
      <c r="E17" s="115"/>
      <c r="H17" s="115" t="s">
        <v>735</v>
      </c>
      <c r="K17" s="116" t="s">
        <v>736</v>
      </c>
    </row>
    <row r="18" customFormat="false" ht="14.6" hidden="false" customHeight="false" outlineLevel="0" collapsed="false">
      <c r="K18" s="116" t="s">
        <v>737</v>
      </c>
    </row>
    <row r="19" customFormat="false" ht="14.6" hidden="false" customHeight="false" outlineLevel="0" collapsed="false">
      <c r="K19" s="116" t="s">
        <v>738</v>
      </c>
    </row>
    <row r="20" customFormat="false" ht="14.6" hidden="false" customHeight="false" outlineLevel="0" collapsed="false">
      <c r="E20" s="117"/>
      <c r="F20" s="117"/>
      <c r="G20" s="117"/>
      <c r="H20" s="117"/>
      <c r="I20" s="117"/>
      <c r="J20" s="117"/>
      <c r="K20" s="117"/>
    </row>
    <row r="22" customFormat="false" ht="14.6" hidden="false" customHeight="false" outlineLevel="0" collapsed="false">
      <c r="H22" s="111" t="s">
        <v>739</v>
      </c>
    </row>
    <row r="25" customFormat="false" ht="14.6" hidden="false" customHeight="false" outlineLevel="0" collapsed="false">
      <c r="E25" s="112" t="s">
        <v>740</v>
      </c>
      <c r="H25" s="112" t="s">
        <v>741</v>
      </c>
      <c r="K25" s="112" t="s">
        <v>742</v>
      </c>
    </row>
    <row r="27" customFormat="false" ht="14.6" hidden="false" customHeight="false" outlineLevel="0" collapsed="false">
      <c r="H27" s="118" t="s">
        <v>743</v>
      </c>
    </row>
    <row r="28" customFormat="false" ht="14.6" hidden="false" customHeight="false" outlineLevel="0" collapsed="false">
      <c r="H28" s="118" t="s">
        <v>744</v>
      </c>
    </row>
    <row r="29" customFormat="false" ht="14.6" hidden="false" customHeight="false" outlineLevel="0" collapsed="false">
      <c r="H29" s="118" t="s">
        <v>745</v>
      </c>
    </row>
    <row r="30" customFormat="false" ht="14.6" hidden="false" customHeight="false" outlineLevel="0" collapsed="false">
      <c r="H30" s="118" t="s">
        <v>746</v>
      </c>
    </row>
    <row r="31" customFormat="false" ht="14.6" hidden="false" customHeight="false" outlineLevel="0" collapsed="false">
      <c r="H31" s="118" t="s">
        <v>747</v>
      </c>
    </row>
  </sheetData>
  <printOptions headings="false" gridLines="false" gridLinesSet="true" horizontalCentered="false" verticalCentered="false"/>
  <pageMargins left="0.7" right="0.7" top="0.75" bottom="0.75" header="0.511805555555555" footer="0.511805555555555"/>
  <pageSetup paperSize="5"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tabColor rgb="FF8FAADC"/>
    <pageSetUpPr fitToPage="false"/>
  </sheetPr>
  <dimension ref="A1:Q8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3" activeCellId="0" sqref="C13"/>
    </sheetView>
  </sheetViews>
  <sheetFormatPr defaultRowHeight="14.6" zeroHeight="false" outlineLevelRow="0" outlineLevelCol="0"/>
  <cols>
    <col collapsed="false" customWidth="true" hidden="false" outlineLevel="0" max="1" min="1" style="0" width="29.38"/>
    <col collapsed="false" customWidth="true" hidden="false" outlineLevel="0" max="3" min="2" style="0" width="8.75"/>
    <col collapsed="false" customWidth="true" hidden="false" outlineLevel="0" max="4" min="4" style="0" width="19.3"/>
    <col collapsed="false" customWidth="true" hidden="false" outlineLevel="0" max="6" min="5" style="0" width="8.75"/>
    <col collapsed="false" customWidth="true" hidden="false" outlineLevel="0" max="7" min="7" style="0" width="16.69"/>
    <col collapsed="false" customWidth="true" hidden="false" outlineLevel="0" max="8" min="8" style="0" width="8.75"/>
    <col collapsed="false" customWidth="true" hidden="false" outlineLevel="0" max="10" min="9" style="0" width="17.53"/>
    <col collapsed="false" customWidth="true" hidden="false" outlineLevel="0" max="12" min="11" style="0" width="8.75"/>
    <col collapsed="false" customWidth="true" hidden="false" outlineLevel="0" max="13" min="13" style="0" width="30.53"/>
    <col collapsed="false" customWidth="true" hidden="false" outlineLevel="0" max="1025" min="14" style="0" width="8.75"/>
  </cols>
  <sheetData>
    <row r="1" customFormat="false" ht="14.6" hidden="false" customHeight="false" outlineLevel="0" collapsed="false">
      <c r="A1" s="110"/>
      <c r="B1" s="110"/>
      <c r="C1" s="110"/>
      <c r="D1" s="110"/>
      <c r="E1" s="110"/>
      <c r="F1" s="110"/>
      <c r="G1" s="111" t="s">
        <v>748</v>
      </c>
      <c r="H1" s="110"/>
      <c r="I1" s="110"/>
      <c r="J1" s="110"/>
      <c r="K1" s="110"/>
      <c r="L1" s="110"/>
      <c r="M1" s="110"/>
    </row>
    <row r="2" customFormat="false" ht="14.6" hidden="false" customHeight="false" outlineLevel="0" collapsed="false">
      <c r="A2" s="112" t="s">
        <v>746</v>
      </c>
      <c r="B2" s="110"/>
      <c r="C2" s="110"/>
      <c r="D2" s="110"/>
      <c r="E2" s="110"/>
      <c r="F2" s="110"/>
      <c r="G2" s="110"/>
      <c r="H2" s="110"/>
      <c r="I2" s="110"/>
      <c r="J2" s="110"/>
      <c r="K2" s="110"/>
      <c r="L2" s="110"/>
      <c r="M2" s="112" t="s">
        <v>749</v>
      </c>
      <c r="N2" s="110"/>
      <c r="O2" s="110"/>
      <c r="P2" s="110"/>
      <c r="Q2" s="110"/>
    </row>
    <row r="3" customFormat="false" ht="14.6" hidden="false" customHeight="false" outlineLevel="0" collapsed="false">
      <c r="A3" s="113"/>
      <c r="B3" s="110"/>
      <c r="C3" s="110"/>
      <c r="D3" s="110"/>
      <c r="E3" s="110"/>
      <c r="F3" s="110"/>
      <c r="G3" s="110"/>
      <c r="H3" s="110"/>
      <c r="I3" s="110"/>
      <c r="J3" s="110"/>
      <c r="K3" s="110"/>
      <c r="L3" s="110"/>
      <c r="M3" s="119" t="s">
        <v>750</v>
      </c>
      <c r="N3" s="110"/>
      <c r="O3" s="110"/>
      <c r="P3" s="110"/>
      <c r="Q3" s="110"/>
    </row>
    <row r="4" customFormat="false" ht="14.6" hidden="false" customHeight="false" outlineLevel="0" collapsed="false">
      <c r="A4" s="120" t="s">
        <v>751</v>
      </c>
      <c r="B4" s="110"/>
      <c r="C4" s="110"/>
      <c r="D4" s="112" t="s">
        <v>752</v>
      </c>
      <c r="E4" s="110"/>
      <c r="F4" s="110"/>
      <c r="G4" s="112" t="s">
        <v>753</v>
      </c>
      <c r="H4" s="110"/>
      <c r="I4" s="110"/>
      <c r="J4" s="112" t="s">
        <v>754</v>
      </c>
      <c r="K4" s="110"/>
      <c r="L4" s="110"/>
      <c r="M4" s="119" t="s">
        <v>755</v>
      </c>
      <c r="N4" s="110"/>
      <c r="O4" s="110"/>
      <c r="P4" s="110"/>
      <c r="Q4" s="110"/>
    </row>
    <row r="5" customFormat="false" ht="14.6" hidden="false" customHeight="false" outlineLevel="0" collapsed="false">
      <c r="A5" s="121" t="s">
        <v>756</v>
      </c>
      <c r="B5" s="110"/>
      <c r="C5" s="110"/>
      <c r="D5" s="120" t="s">
        <v>757</v>
      </c>
      <c r="E5" s="110"/>
      <c r="F5" s="110"/>
      <c r="G5" s="110" t="s">
        <v>758</v>
      </c>
      <c r="H5" s="110"/>
      <c r="I5" s="110"/>
      <c r="J5" s="119" t="s">
        <v>759</v>
      </c>
      <c r="K5" s="110"/>
      <c r="L5" s="110"/>
      <c r="M5" s="119" t="s">
        <v>760</v>
      </c>
      <c r="N5" s="110"/>
      <c r="O5" s="110"/>
      <c r="P5" s="110"/>
      <c r="Q5" s="110"/>
    </row>
    <row r="6" customFormat="false" ht="14.6" hidden="false" customHeight="false" outlineLevel="0" collapsed="false">
      <c r="A6" s="120" t="s">
        <v>761</v>
      </c>
      <c r="B6" s="110"/>
      <c r="C6" s="110"/>
      <c r="D6" s="120" t="s">
        <v>762</v>
      </c>
      <c r="E6" s="110"/>
      <c r="F6" s="110"/>
      <c r="G6" s="110" t="s">
        <v>763</v>
      </c>
      <c r="H6" s="110"/>
      <c r="I6" s="110"/>
      <c r="J6" s="110"/>
      <c r="K6" s="110"/>
      <c r="L6" s="110"/>
      <c r="M6" s="119" t="s">
        <v>764</v>
      </c>
      <c r="N6" s="110"/>
      <c r="O6" s="110"/>
      <c r="P6" s="110"/>
      <c r="Q6" s="110"/>
    </row>
    <row r="7" customFormat="false" ht="14.6" hidden="false" customHeight="false" outlineLevel="0" collapsed="false">
      <c r="A7" s="120" t="s">
        <v>765</v>
      </c>
      <c r="B7" s="110"/>
      <c r="C7" s="110"/>
      <c r="D7" s="120" t="s">
        <v>766</v>
      </c>
      <c r="E7" s="110"/>
      <c r="F7" s="110"/>
      <c r="G7" s="110" t="s">
        <v>767</v>
      </c>
      <c r="H7" s="110"/>
      <c r="I7" s="110"/>
      <c r="J7" s="110"/>
      <c r="K7" s="110"/>
      <c r="L7" s="110"/>
      <c r="M7" s="119" t="s">
        <v>768</v>
      </c>
      <c r="N7" s="110"/>
      <c r="O7" s="110"/>
      <c r="P7" s="110"/>
      <c r="Q7" s="110"/>
    </row>
    <row r="8" customFormat="false" ht="14.6" hidden="false" customHeight="false" outlineLevel="0" collapsed="false">
      <c r="A8" s="120" t="s">
        <v>769</v>
      </c>
      <c r="B8" s="110"/>
      <c r="C8" s="110"/>
      <c r="D8" s="110"/>
      <c r="E8" s="110"/>
      <c r="F8" s="110"/>
      <c r="G8" s="119" t="s">
        <v>770</v>
      </c>
      <c r="H8" s="110"/>
      <c r="I8" s="110"/>
      <c r="J8" s="110"/>
      <c r="K8" s="110"/>
      <c r="L8" s="110"/>
      <c r="M8" s="119" t="s">
        <v>771</v>
      </c>
      <c r="N8" s="110"/>
      <c r="O8" s="110"/>
      <c r="P8" s="110"/>
      <c r="Q8" s="110"/>
    </row>
    <row r="9" customFormat="false" ht="14.6" hidden="false" customHeight="false" outlineLevel="0" collapsed="false">
      <c r="A9" s="120"/>
      <c r="B9" s="110"/>
      <c r="C9" s="110"/>
      <c r="D9" s="110"/>
      <c r="E9" s="110"/>
      <c r="F9" s="110"/>
      <c r="G9" s="119" t="s">
        <v>772</v>
      </c>
      <c r="H9" s="110"/>
      <c r="I9" s="110"/>
      <c r="J9" s="110"/>
      <c r="K9" s="110"/>
      <c r="L9" s="110"/>
      <c r="M9" s="119" t="s">
        <v>773</v>
      </c>
      <c r="N9" s="110"/>
      <c r="O9" s="110"/>
      <c r="P9" s="110"/>
      <c r="Q9" s="110"/>
    </row>
    <row r="10" customFormat="false" ht="14.6" hidden="false" customHeight="false" outlineLevel="0" collapsed="false">
      <c r="A10" s="120"/>
      <c r="B10" s="110"/>
      <c r="C10" s="110"/>
      <c r="D10" s="110"/>
      <c r="E10" s="110"/>
      <c r="F10" s="110"/>
      <c r="G10" s="119" t="s">
        <v>774</v>
      </c>
      <c r="H10" s="110"/>
      <c r="I10" s="110"/>
      <c r="J10" s="110"/>
      <c r="K10" s="110"/>
      <c r="L10" s="110"/>
      <c r="M10" s="116" t="s">
        <v>775</v>
      </c>
      <c r="N10" s="110"/>
      <c r="O10" s="110"/>
      <c r="P10" s="110"/>
      <c r="Q10" s="110"/>
    </row>
    <row r="11" customFormat="false" ht="14.6" hidden="false" customHeight="false" outlineLevel="0" collapsed="false">
      <c r="A11" s="120"/>
      <c r="B11" s="110"/>
      <c r="C11" s="110"/>
      <c r="D11" s="110"/>
      <c r="E11" s="110"/>
      <c r="F11" s="110"/>
      <c r="G11" s="119" t="s">
        <v>776</v>
      </c>
      <c r="H11" s="110"/>
      <c r="I11" s="110"/>
      <c r="J11" s="110"/>
      <c r="K11" s="110"/>
      <c r="L11" s="110"/>
      <c r="M11" s="119" t="s">
        <v>777</v>
      </c>
      <c r="N11" s="110"/>
      <c r="O11" s="110"/>
      <c r="P11" s="110"/>
      <c r="Q11" s="110"/>
    </row>
    <row r="12" customFormat="false" ht="14.6" hidden="false" customHeight="false" outlineLevel="0" collapsed="false">
      <c r="A12" s="120"/>
      <c r="B12" s="110"/>
      <c r="C12" s="110"/>
      <c r="D12" s="110"/>
      <c r="E12" s="110"/>
      <c r="F12" s="110"/>
      <c r="G12" s="116" t="s">
        <v>778</v>
      </c>
      <c r="H12" s="110"/>
      <c r="I12" s="110"/>
      <c r="J12" s="110"/>
      <c r="K12" s="110"/>
      <c r="L12" s="110"/>
      <c r="M12" s="119"/>
      <c r="N12" s="110"/>
      <c r="O12" s="110"/>
      <c r="P12" s="110"/>
      <c r="Q12" s="110"/>
    </row>
    <row r="13" customFormat="false" ht="14.6" hidden="false" customHeight="false" outlineLevel="0" collapsed="false">
      <c r="A13" s="120"/>
      <c r="B13" s="110"/>
      <c r="C13" s="110"/>
      <c r="D13" s="110"/>
      <c r="E13" s="110"/>
      <c r="F13" s="110"/>
      <c r="G13" s="119" t="s">
        <v>779</v>
      </c>
      <c r="H13" s="110"/>
      <c r="I13" s="110"/>
      <c r="J13" s="110"/>
      <c r="K13" s="110"/>
      <c r="L13" s="110"/>
      <c r="M13" s="119"/>
      <c r="N13" s="110"/>
      <c r="O13" s="110"/>
      <c r="P13" s="110"/>
      <c r="Q13" s="110"/>
    </row>
    <row r="14" customFormat="false" ht="14.6" hidden="false" customHeight="false" outlineLevel="0" collapsed="false">
      <c r="A14" s="120"/>
      <c r="B14" s="110"/>
      <c r="C14" s="110"/>
      <c r="D14" s="110"/>
      <c r="E14" s="110"/>
      <c r="F14" s="110"/>
      <c r="G14" s="119" t="s">
        <v>780</v>
      </c>
      <c r="H14" s="110"/>
      <c r="I14" s="110"/>
      <c r="J14" s="110"/>
      <c r="K14" s="110"/>
      <c r="L14" s="110"/>
      <c r="M14" s="119"/>
      <c r="N14" s="110"/>
      <c r="O14" s="110"/>
      <c r="P14" s="110"/>
      <c r="Q14" s="110"/>
    </row>
    <row r="15" customFormat="false" ht="14.6" hidden="false" customHeight="false" outlineLevel="0" collapsed="false">
      <c r="A15" s="120"/>
      <c r="B15" s="110"/>
      <c r="C15" s="110"/>
      <c r="D15" s="110"/>
      <c r="E15" s="110"/>
      <c r="F15" s="110"/>
      <c r="G15" s="119" t="s">
        <v>781</v>
      </c>
      <c r="H15" s="110"/>
      <c r="I15" s="110"/>
      <c r="J15" s="110"/>
      <c r="K15" s="110"/>
      <c r="L15" s="110"/>
      <c r="M15" s="119"/>
      <c r="N15" s="110"/>
      <c r="O15" s="110"/>
      <c r="P15" s="110"/>
      <c r="Q15" s="110"/>
    </row>
    <row r="16" customFormat="false" ht="14.6" hidden="false" customHeight="false" outlineLevel="0" collapsed="false">
      <c r="A16" s="113"/>
      <c r="B16" s="110"/>
      <c r="C16" s="110"/>
      <c r="D16" s="110"/>
      <c r="E16" s="110"/>
      <c r="F16" s="110"/>
      <c r="G16" s="116" t="s">
        <v>782</v>
      </c>
      <c r="H16" s="110"/>
      <c r="I16" s="110"/>
      <c r="J16" s="110"/>
      <c r="K16" s="110"/>
      <c r="L16" s="110"/>
      <c r="M16" s="119"/>
      <c r="N16" s="110"/>
      <c r="O16" s="110"/>
      <c r="P16" s="110"/>
      <c r="Q16" s="110"/>
    </row>
    <row r="17" customFormat="false" ht="14.6" hidden="false" customHeight="false" outlineLevel="0" collapsed="false">
      <c r="A17" s="113"/>
      <c r="B17" s="110"/>
      <c r="C17" s="110"/>
      <c r="D17" s="110"/>
      <c r="E17" s="110"/>
      <c r="F17" s="110"/>
      <c r="G17" s="119" t="s">
        <v>783</v>
      </c>
      <c r="H17" s="110"/>
      <c r="I17" s="110"/>
      <c r="J17" s="110"/>
      <c r="K17" s="110"/>
      <c r="L17" s="110"/>
      <c r="M17" s="119"/>
      <c r="N17" s="110"/>
      <c r="O17" s="110"/>
      <c r="P17" s="110"/>
      <c r="Q17" s="110"/>
    </row>
    <row r="18" customFormat="false" ht="14.6" hidden="false" customHeight="false" outlineLevel="0" collapsed="false">
      <c r="A18" s="113"/>
      <c r="B18" s="110"/>
      <c r="C18" s="110"/>
      <c r="D18" s="110"/>
      <c r="E18" s="110"/>
      <c r="F18" s="110"/>
      <c r="G18" s="119" t="s">
        <v>784</v>
      </c>
      <c r="H18" s="110"/>
      <c r="I18" s="110"/>
      <c r="J18" s="110"/>
      <c r="K18" s="110"/>
      <c r="L18" s="110"/>
      <c r="M18" s="119"/>
      <c r="N18" s="110"/>
      <c r="O18" s="110"/>
      <c r="P18" s="110"/>
      <c r="Q18" s="110"/>
    </row>
    <row r="19" customFormat="false" ht="14.6" hidden="false" customHeight="false" outlineLevel="0" collapsed="false">
      <c r="A19" s="110"/>
      <c r="B19" s="110"/>
      <c r="C19" s="110"/>
      <c r="D19" s="110"/>
      <c r="E19" s="110"/>
      <c r="F19" s="110"/>
      <c r="G19" s="119" t="s">
        <v>785</v>
      </c>
      <c r="H19" s="110"/>
      <c r="I19" s="110"/>
      <c r="J19" s="110"/>
      <c r="K19" s="110"/>
      <c r="L19" s="110"/>
      <c r="M19" s="119"/>
      <c r="N19" s="110"/>
      <c r="O19" s="110"/>
      <c r="P19" s="110"/>
      <c r="Q19" s="110"/>
    </row>
    <row r="20" customFormat="false" ht="14.6" hidden="false" customHeight="false" outlineLevel="0" collapsed="false">
      <c r="A20" s="110"/>
      <c r="B20" s="110"/>
      <c r="C20" s="110"/>
      <c r="D20" s="110"/>
      <c r="E20" s="110"/>
      <c r="F20" s="110"/>
      <c r="G20" s="119" t="s">
        <v>786</v>
      </c>
      <c r="H20" s="110"/>
      <c r="I20" s="110"/>
      <c r="J20" s="110"/>
      <c r="K20" s="110"/>
      <c r="L20" s="110"/>
      <c r="M20" s="119"/>
      <c r="N20" s="110"/>
      <c r="O20" s="110"/>
      <c r="P20" s="110"/>
      <c r="Q20" s="110"/>
    </row>
    <row r="21" customFormat="false" ht="14.6" hidden="false" customHeight="false" outlineLevel="0" collapsed="false">
      <c r="A21" s="110"/>
      <c r="B21" s="110"/>
      <c r="C21" s="110"/>
      <c r="D21" s="110"/>
      <c r="E21" s="110"/>
      <c r="F21" s="110"/>
      <c r="G21" s="119" t="s">
        <v>787</v>
      </c>
      <c r="H21" s="110"/>
      <c r="I21" s="110"/>
      <c r="J21" s="110"/>
      <c r="K21" s="110"/>
      <c r="L21" s="110"/>
      <c r="M21" s="119"/>
      <c r="N21" s="110"/>
      <c r="O21" s="110"/>
      <c r="P21" s="110"/>
      <c r="Q21" s="110"/>
    </row>
    <row r="22" customFormat="false" ht="14.6" hidden="false" customHeight="false" outlineLevel="0" collapsed="false">
      <c r="A22" s="110"/>
      <c r="B22" s="110"/>
      <c r="C22" s="110"/>
      <c r="D22" s="110"/>
      <c r="E22" s="110"/>
      <c r="F22" s="110"/>
      <c r="G22" s="110"/>
      <c r="H22" s="110"/>
      <c r="I22" s="110"/>
      <c r="J22" s="110"/>
      <c r="K22" s="110"/>
      <c r="L22" s="110"/>
      <c r="M22" s="119"/>
      <c r="N22" s="110"/>
      <c r="O22" s="110"/>
      <c r="P22" s="110"/>
      <c r="Q22" s="110"/>
    </row>
    <row r="23" customFormat="false" ht="14.6" hidden="false" customHeight="false" outlineLevel="0" collapsed="false">
      <c r="A23" s="110"/>
      <c r="B23" s="110"/>
      <c r="C23" s="110"/>
      <c r="D23" s="110"/>
      <c r="E23" s="110"/>
      <c r="F23" s="110"/>
      <c r="G23" s="110"/>
      <c r="H23" s="110"/>
      <c r="I23" s="110"/>
      <c r="J23" s="110"/>
      <c r="K23" s="110"/>
      <c r="L23" s="110"/>
      <c r="M23" s="110"/>
      <c r="N23" s="110"/>
      <c r="O23" s="110"/>
      <c r="P23" s="110"/>
      <c r="Q23" s="110"/>
    </row>
    <row r="24" customFormat="false" ht="14.6" hidden="false" customHeight="false" outlineLevel="0" collapsed="false">
      <c r="A24" s="110"/>
      <c r="B24" s="110"/>
      <c r="C24" s="110"/>
      <c r="D24" s="110"/>
      <c r="E24" s="110"/>
      <c r="F24" s="110"/>
      <c r="G24" s="110"/>
      <c r="H24" s="110"/>
      <c r="I24" s="110"/>
      <c r="J24" s="110"/>
      <c r="K24" s="110"/>
      <c r="L24" s="110"/>
      <c r="M24" s="110"/>
      <c r="N24" s="110"/>
      <c r="O24" s="110"/>
      <c r="P24" s="110"/>
      <c r="Q24" s="110"/>
    </row>
    <row r="25" customFormat="false" ht="14.6" hidden="false" customHeight="false" outlineLevel="0" collapsed="false">
      <c r="A25" s="110"/>
      <c r="B25" s="110"/>
      <c r="C25" s="110"/>
      <c r="D25" s="110"/>
      <c r="E25" s="110"/>
      <c r="F25" s="110"/>
      <c r="G25" s="110"/>
      <c r="H25" s="110"/>
      <c r="I25" s="110"/>
      <c r="J25" s="110"/>
      <c r="K25" s="110"/>
      <c r="L25" s="110"/>
      <c r="M25" s="110"/>
      <c r="N25" s="110"/>
      <c r="O25" s="110"/>
      <c r="P25" s="110"/>
      <c r="Q25" s="110"/>
    </row>
    <row r="26" customFormat="false" ht="14.6" hidden="false" customHeight="false" outlineLevel="0" collapsed="false">
      <c r="A26" s="110"/>
      <c r="B26" s="110"/>
      <c r="C26" s="110"/>
      <c r="D26" s="110"/>
      <c r="E26" s="110"/>
      <c r="F26" s="110"/>
      <c r="G26" s="110"/>
      <c r="H26" s="110"/>
      <c r="I26" s="110"/>
      <c r="J26" s="110"/>
      <c r="K26" s="110"/>
      <c r="L26" s="110"/>
      <c r="M26" s="110"/>
      <c r="N26" s="110"/>
      <c r="O26" s="110"/>
      <c r="P26" s="110"/>
      <c r="Q26" s="110"/>
    </row>
    <row r="27" customFormat="false" ht="14.6" hidden="false" customHeight="false" outlineLevel="0" collapsed="false">
      <c r="A27" s="110"/>
      <c r="B27" s="110"/>
      <c r="C27" s="110"/>
      <c r="D27" s="110"/>
      <c r="E27" s="110"/>
      <c r="F27" s="110"/>
      <c r="G27" s="110"/>
      <c r="H27" s="110"/>
      <c r="I27" s="110"/>
      <c r="J27" s="110"/>
      <c r="K27" s="110"/>
      <c r="L27" s="110"/>
      <c r="M27" s="110"/>
      <c r="N27" s="110"/>
      <c r="O27" s="110"/>
      <c r="P27" s="110"/>
      <c r="Q27" s="110"/>
    </row>
    <row r="28" customFormat="false" ht="14.6" hidden="false" customHeight="false" outlineLevel="0" collapsed="false">
      <c r="A28" s="110"/>
      <c r="B28" s="110"/>
      <c r="C28" s="110"/>
      <c r="D28" s="110"/>
      <c r="E28" s="110"/>
      <c r="F28" s="110"/>
      <c r="G28" s="110"/>
      <c r="H28" s="110"/>
      <c r="I28" s="110"/>
      <c r="J28" s="110"/>
      <c r="K28" s="110"/>
      <c r="L28" s="110"/>
      <c r="M28" s="110"/>
      <c r="N28" s="110"/>
      <c r="O28" s="110"/>
      <c r="P28" s="110"/>
      <c r="Q28" s="110"/>
    </row>
    <row r="29" customFormat="false" ht="14.6" hidden="false" customHeight="false" outlineLevel="0" collapsed="false">
      <c r="A29" s="110"/>
      <c r="B29" s="110"/>
      <c r="C29" s="110"/>
      <c r="D29" s="110"/>
      <c r="E29" s="110"/>
      <c r="F29" s="110"/>
      <c r="G29" s="110"/>
      <c r="H29" s="110"/>
      <c r="I29" s="110"/>
      <c r="J29" s="110"/>
      <c r="K29" s="110"/>
      <c r="L29" s="110"/>
      <c r="M29" s="110"/>
      <c r="N29" s="110"/>
      <c r="O29" s="110"/>
      <c r="P29" s="110"/>
      <c r="Q29" s="110"/>
    </row>
    <row r="30" customFormat="false" ht="14.6" hidden="false" customHeight="false" outlineLevel="0" collapsed="false">
      <c r="A30" s="110"/>
      <c r="B30" s="110"/>
      <c r="C30" s="110"/>
      <c r="D30" s="110"/>
      <c r="E30" s="110"/>
      <c r="F30" s="110"/>
      <c r="G30" s="110"/>
      <c r="H30" s="110"/>
      <c r="I30" s="110"/>
      <c r="J30" s="110"/>
      <c r="K30" s="110"/>
      <c r="L30" s="110"/>
      <c r="M30" s="110"/>
      <c r="N30" s="110"/>
      <c r="O30" s="110"/>
      <c r="P30" s="110"/>
      <c r="Q30" s="110"/>
    </row>
    <row r="31" customFormat="false" ht="14.6" hidden="false" customHeight="false" outlineLevel="0" collapsed="false">
      <c r="A31" s="110"/>
      <c r="B31" s="110"/>
      <c r="C31" s="110"/>
      <c r="D31" s="110"/>
      <c r="E31" s="110"/>
      <c r="F31" s="110"/>
      <c r="G31" s="110"/>
      <c r="H31" s="110"/>
      <c r="I31" s="110"/>
      <c r="J31" s="110"/>
      <c r="K31" s="110"/>
      <c r="L31" s="110"/>
      <c r="M31" s="110"/>
      <c r="N31" s="110"/>
      <c r="O31" s="110"/>
      <c r="P31" s="110"/>
      <c r="Q31" s="110"/>
    </row>
    <row r="32" customFormat="false" ht="14.6" hidden="false" customHeight="false" outlineLevel="0" collapsed="false">
      <c r="A32" s="110"/>
      <c r="B32" s="110"/>
      <c r="C32" s="110"/>
      <c r="D32" s="110"/>
      <c r="E32" s="110"/>
      <c r="F32" s="110"/>
      <c r="G32" s="110"/>
      <c r="H32" s="110"/>
      <c r="I32" s="110"/>
      <c r="J32" s="110"/>
      <c r="K32" s="110"/>
      <c r="L32" s="110"/>
      <c r="M32" s="110"/>
      <c r="N32" s="110"/>
      <c r="O32" s="110"/>
      <c r="P32" s="110"/>
      <c r="Q32" s="110"/>
    </row>
    <row r="33" customFormat="false" ht="14.6" hidden="false" customHeight="false" outlineLevel="0" collapsed="false">
      <c r="A33" s="110"/>
      <c r="B33" s="110"/>
      <c r="C33" s="110"/>
      <c r="D33" s="110"/>
      <c r="E33" s="110"/>
      <c r="F33" s="110"/>
      <c r="G33" s="110"/>
      <c r="H33" s="110"/>
      <c r="I33" s="110"/>
      <c r="J33" s="110"/>
      <c r="K33" s="110"/>
      <c r="L33" s="110"/>
      <c r="M33" s="110"/>
      <c r="N33" s="110"/>
      <c r="O33" s="110"/>
      <c r="P33" s="110"/>
      <c r="Q33" s="110"/>
    </row>
    <row r="34" customFormat="false" ht="14.6" hidden="false" customHeight="false" outlineLevel="0" collapsed="false">
      <c r="A34" s="110"/>
      <c r="B34" s="110"/>
      <c r="C34" s="110"/>
      <c r="D34" s="110"/>
      <c r="E34" s="110"/>
      <c r="F34" s="110"/>
      <c r="G34" s="110"/>
      <c r="H34" s="110"/>
      <c r="I34" s="110"/>
      <c r="J34" s="110"/>
      <c r="K34" s="110"/>
      <c r="L34" s="110"/>
      <c r="M34" s="110"/>
      <c r="N34" s="110"/>
      <c r="O34" s="110"/>
      <c r="P34" s="110"/>
      <c r="Q34" s="110"/>
    </row>
    <row r="35" customFormat="false" ht="14.6" hidden="false" customHeight="false" outlineLevel="0" collapsed="false">
      <c r="A35" s="110"/>
      <c r="B35" s="110"/>
      <c r="C35" s="110"/>
      <c r="D35" s="110"/>
      <c r="E35" s="110"/>
      <c r="F35" s="110"/>
      <c r="G35" s="110"/>
      <c r="H35" s="110"/>
      <c r="I35" s="110"/>
      <c r="J35" s="110"/>
      <c r="K35" s="110"/>
      <c r="L35" s="110"/>
      <c r="M35" s="110"/>
      <c r="N35" s="110"/>
      <c r="O35" s="110"/>
      <c r="P35" s="110"/>
      <c r="Q35" s="110"/>
    </row>
    <row r="36" customFormat="false" ht="14.6" hidden="false" customHeight="false" outlineLevel="0" collapsed="false">
      <c r="A36" s="110"/>
      <c r="B36" s="110"/>
      <c r="C36" s="110"/>
      <c r="D36" s="110"/>
      <c r="E36" s="110"/>
      <c r="F36" s="110"/>
      <c r="G36" s="110"/>
      <c r="H36" s="110"/>
      <c r="I36" s="110"/>
      <c r="J36" s="110"/>
      <c r="K36" s="110"/>
      <c r="L36" s="110"/>
      <c r="M36" s="110"/>
      <c r="N36" s="110"/>
      <c r="O36" s="110"/>
      <c r="P36" s="110"/>
      <c r="Q36" s="110"/>
    </row>
    <row r="37" customFormat="false" ht="14.6" hidden="false" customHeight="false" outlineLevel="0" collapsed="false">
      <c r="A37" s="110"/>
      <c r="B37" s="110"/>
      <c r="C37" s="110"/>
      <c r="D37" s="110"/>
      <c r="E37" s="110"/>
      <c r="F37" s="110"/>
      <c r="G37" s="110"/>
      <c r="H37" s="110"/>
      <c r="I37" s="110"/>
      <c r="J37" s="110"/>
      <c r="K37" s="110"/>
      <c r="L37" s="110"/>
      <c r="M37" s="110"/>
      <c r="N37" s="110"/>
      <c r="O37" s="110"/>
      <c r="P37" s="110"/>
      <c r="Q37" s="110"/>
    </row>
    <row r="38" customFormat="false" ht="14.6" hidden="false" customHeight="false" outlineLevel="0" collapsed="false">
      <c r="A38" s="110"/>
      <c r="B38" s="110"/>
      <c r="C38" s="110"/>
      <c r="D38" s="110"/>
      <c r="E38" s="110"/>
      <c r="F38" s="110"/>
      <c r="G38" s="110"/>
      <c r="H38" s="110"/>
      <c r="I38" s="110"/>
      <c r="J38" s="110"/>
      <c r="K38" s="110"/>
      <c r="L38" s="110"/>
      <c r="M38" s="110"/>
      <c r="N38" s="110"/>
      <c r="O38" s="110"/>
      <c r="P38" s="110"/>
      <c r="Q38" s="110"/>
    </row>
    <row r="39" customFormat="false" ht="14.6" hidden="false" customHeight="false" outlineLevel="0" collapsed="false">
      <c r="A39" s="110"/>
      <c r="B39" s="110"/>
      <c r="C39" s="110"/>
      <c r="D39" s="110"/>
      <c r="E39" s="110"/>
      <c r="F39" s="110"/>
      <c r="G39" s="110"/>
      <c r="H39" s="110"/>
      <c r="I39" s="110"/>
      <c r="J39" s="110"/>
      <c r="K39" s="110"/>
      <c r="L39" s="110"/>
      <c r="M39" s="110"/>
      <c r="N39" s="110"/>
      <c r="O39" s="110"/>
      <c r="P39" s="110"/>
      <c r="Q39" s="110"/>
    </row>
    <row r="40" customFormat="false" ht="14.6" hidden="false" customHeight="false" outlineLevel="0" collapsed="false">
      <c r="A40" s="110"/>
      <c r="B40" s="110"/>
      <c r="C40" s="110"/>
      <c r="D40" s="110"/>
      <c r="E40" s="110"/>
      <c r="F40" s="110"/>
      <c r="G40" s="110"/>
      <c r="H40" s="110"/>
      <c r="I40" s="110"/>
      <c r="J40" s="110"/>
      <c r="K40" s="110"/>
      <c r="L40" s="110"/>
      <c r="M40" s="110"/>
      <c r="N40" s="110"/>
      <c r="O40" s="110"/>
      <c r="P40" s="110"/>
      <c r="Q40" s="110"/>
    </row>
    <row r="41" customFormat="false" ht="14.6" hidden="false" customHeight="false" outlineLevel="0" collapsed="false">
      <c r="A41" s="110"/>
      <c r="B41" s="110"/>
      <c r="C41" s="110"/>
      <c r="D41" s="110"/>
      <c r="E41" s="110"/>
      <c r="F41" s="110"/>
      <c r="G41" s="110"/>
      <c r="H41" s="110"/>
      <c r="I41" s="110"/>
      <c r="J41" s="110"/>
      <c r="K41" s="110"/>
      <c r="L41" s="110"/>
      <c r="M41" s="110"/>
      <c r="N41" s="110"/>
      <c r="O41" s="110"/>
      <c r="P41" s="110"/>
      <c r="Q41" s="110"/>
    </row>
    <row r="42" customFormat="false" ht="14.6" hidden="false" customHeight="false" outlineLevel="0" collapsed="false">
      <c r="A42" s="110"/>
      <c r="B42" s="110"/>
      <c r="C42" s="110"/>
      <c r="D42" s="110"/>
      <c r="E42" s="110"/>
      <c r="F42" s="110"/>
      <c r="G42" s="110"/>
      <c r="H42" s="110"/>
      <c r="I42" s="110"/>
      <c r="J42" s="110"/>
      <c r="K42" s="110"/>
      <c r="L42" s="110"/>
      <c r="M42" s="110"/>
      <c r="N42" s="110"/>
      <c r="O42" s="110"/>
      <c r="P42" s="110"/>
      <c r="Q42" s="110"/>
    </row>
    <row r="43" customFormat="false" ht="14.6" hidden="false" customHeight="false" outlineLevel="0" collapsed="false">
      <c r="A43" s="110"/>
      <c r="B43" s="110"/>
      <c r="C43" s="110"/>
      <c r="D43" s="110"/>
      <c r="E43" s="110"/>
      <c r="F43" s="110"/>
      <c r="G43" s="110"/>
      <c r="H43" s="110"/>
      <c r="I43" s="110"/>
      <c r="J43" s="110"/>
      <c r="K43" s="110"/>
      <c r="L43" s="110"/>
      <c r="M43" s="110"/>
      <c r="N43" s="110"/>
      <c r="O43" s="110"/>
      <c r="P43" s="110"/>
      <c r="Q43" s="110"/>
    </row>
    <row r="44" customFormat="false" ht="14.6" hidden="false" customHeight="false" outlineLevel="0" collapsed="false">
      <c r="A44" s="110"/>
      <c r="B44" s="110"/>
      <c r="C44" s="110"/>
      <c r="D44" s="110"/>
      <c r="E44" s="110"/>
      <c r="F44" s="110"/>
      <c r="G44" s="110"/>
      <c r="H44" s="110"/>
      <c r="I44" s="110"/>
      <c r="J44" s="110"/>
      <c r="K44" s="110"/>
      <c r="L44" s="110"/>
      <c r="M44" s="110"/>
      <c r="N44" s="110"/>
      <c r="O44" s="110"/>
      <c r="P44" s="110"/>
      <c r="Q44" s="110"/>
    </row>
    <row r="45" customFormat="false" ht="14.6" hidden="false" customHeight="false" outlineLevel="0" collapsed="false">
      <c r="A45" s="110"/>
      <c r="B45" s="110"/>
      <c r="C45" s="110"/>
      <c r="D45" s="110"/>
      <c r="E45" s="110"/>
      <c r="F45" s="110"/>
      <c r="G45" s="110"/>
      <c r="H45" s="110"/>
      <c r="I45" s="110"/>
      <c r="J45" s="110"/>
      <c r="K45" s="110"/>
      <c r="L45" s="110"/>
      <c r="M45" s="110"/>
      <c r="N45" s="110"/>
      <c r="O45" s="110"/>
      <c r="P45" s="110"/>
      <c r="Q45" s="110"/>
    </row>
    <row r="46" customFormat="false" ht="14.6" hidden="false" customHeight="false" outlineLevel="0" collapsed="false">
      <c r="A46" s="110"/>
      <c r="B46" s="110"/>
      <c r="C46" s="110"/>
      <c r="D46" s="110"/>
      <c r="E46" s="110"/>
      <c r="F46" s="110"/>
      <c r="G46" s="110"/>
      <c r="H46" s="110"/>
      <c r="I46" s="110"/>
      <c r="J46" s="110"/>
      <c r="K46" s="110"/>
      <c r="L46" s="110"/>
      <c r="M46" s="110"/>
      <c r="N46" s="110"/>
      <c r="O46" s="110"/>
      <c r="P46" s="110"/>
      <c r="Q46" s="110"/>
    </row>
    <row r="47" customFormat="false" ht="14.6" hidden="false" customHeight="false" outlineLevel="0" collapsed="false">
      <c r="A47" s="110"/>
      <c r="B47" s="110"/>
      <c r="C47" s="110"/>
      <c r="D47" s="110"/>
      <c r="E47" s="110"/>
      <c r="F47" s="110"/>
      <c r="G47" s="110"/>
      <c r="H47" s="110"/>
      <c r="I47" s="110"/>
      <c r="J47" s="110"/>
      <c r="K47" s="110"/>
      <c r="L47" s="110"/>
      <c r="M47" s="110"/>
      <c r="N47" s="110"/>
      <c r="O47" s="110"/>
      <c r="P47" s="110"/>
      <c r="Q47" s="110"/>
    </row>
    <row r="48" customFormat="false" ht="14.6" hidden="false" customHeight="false" outlineLevel="0" collapsed="false">
      <c r="A48" s="110"/>
      <c r="B48" s="110"/>
      <c r="C48" s="110"/>
      <c r="D48" s="110"/>
      <c r="E48" s="110"/>
      <c r="F48" s="110"/>
      <c r="G48" s="110"/>
      <c r="H48" s="110"/>
      <c r="I48" s="110"/>
      <c r="J48" s="110"/>
      <c r="K48" s="110"/>
      <c r="L48" s="110"/>
      <c r="M48" s="110"/>
      <c r="N48" s="110"/>
      <c r="O48" s="110"/>
      <c r="P48" s="110"/>
      <c r="Q48" s="110"/>
    </row>
    <row r="49" customFormat="false" ht="14.6" hidden="false" customHeight="false" outlineLevel="0" collapsed="false">
      <c r="A49" s="110"/>
      <c r="B49" s="110"/>
      <c r="C49" s="110"/>
      <c r="D49" s="110"/>
      <c r="E49" s="110"/>
      <c r="F49" s="110"/>
      <c r="G49" s="110"/>
      <c r="H49" s="110"/>
      <c r="I49" s="110"/>
      <c r="J49" s="110"/>
      <c r="K49" s="110"/>
      <c r="L49" s="110"/>
      <c r="M49" s="110"/>
      <c r="N49" s="110"/>
      <c r="O49" s="110"/>
      <c r="P49" s="110"/>
      <c r="Q49" s="110"/>
    </row>
    <row r="50" customFormat="false" ht="14.6" hidden="false" customHeight="false" outlineLevel="0" collapsed="false">
      <c r="A50" s="110"/>
      <c r="B50" s="110"/>
      <c r="C50" s="110"/>
      <c r="D50" s="110"/>
      <c r="E50" s="110"/>
      <c r="F50" s="110"/>
      <c r="G50" s="110"/>
      <c r="H50" s="110"/>
      <c r="I50" s="110"/>
      <c r="J50" s="110"/>
      <c r="K50" s="110"/>
      <c r="L50" s="110"/>
      <c r="M50" s="110"/>
      <c r="N50" s="110"/>
      <c r="O50" s="110"/>
      <c r="P50" s="110"/>
      <c r="Q50" s="110"/>
    </row>
    <row r="51" customFormat="false" ht="14.6" hidden="false" customHeight="false" outlineLevel="0" collapsed="false">
      <c r="A51" s="110"/>
      <c r="B51" s="110"/>
      <c r="C51" s="110"/>
      <c r="D51" s="110"/>
      <c r="E51" s="110"/>
      <c r="F51" s="110"/>
      <c r="G51" s="110"/>
      <c r="H51" s="110"/>
      <c r="I51" s="110"/>
      <c r="J51" s="110"/>
      <c r="K51" s="110"/>
      <c r="L51" s="110"/>
      <c r="M51" s="110"/>
      <c r="N51" s="110"/>
      <c r="O51" s="110"/>
      <c r="P51" s="110"/>
      <c r="Q51" s="110"/>
    </row>
    <row r="52" customFormat="false" ht="14.6" hidden="false" customHeight="false" outlineLevel="0" collapsed="false">
      <c r="A52" s="110"/>
      <c r="B52" s="110"/>
      <c r="C52" s="110"/>
      <c r="D52" s="110"/>
      <c r="E52" s="110"/>
      <c r="F52" s="110"/>
      <c r="G52" s="110"/>
      <c r="H52" s="110"/>
      <c r="I52" s="110"/>
      <c r="J52" s="110"/>
      <c r="K52" s="110"/>
      <c r="L52" s="110"/>
      <c r="M52" s="110"/>
      <c r="N52" s="110"/>
      <c r="O52" s="110"/>
      <c r="P52" s="110"/>
      <c r="Q52" s="110"/>
    </row>
    <row r="53" customFormat="false" ht="14.6" hidden="false" customHeight="false" outlineLevel="0" collapsed="false">
      <c r="A53" s="110"/>
      <c r="B53" s="110"/>
      <c r="C53" s="110"/>
      <c r="D53" s="110"/>
      <c r="E53" s="110"/>
      <c r="F53" s="110"/>
      <c r="G53" s="110"/>
      <c r="H53" s="110"/>
      <c r="I53" s="110"/>
      <c r="J53" s="110"/>
      <c r="K53" s="110"/>
      <c r="L53" s="110"/>
      <c r="M53" s="110"/>
      <c r="N53" s="110"/>
      <c r="O53" s="110"/>
      <c r="P53" s="110"/>
      <c r="Q53" s="110"/>
    </row>
    <row r="54" customFormat="false" ht="14.6" hidden="false" customHeight="false" outlineLevel="0" collapsed="false">
      <c r="A54" s="110"/>
      <c r="B54" s="110"/>
      <c r="C54" s="110"/>
      <c r="D54" s="110"/>
      <c r="E54" s="110"/>
      <c r="F54" s="110"/>
      <c r="G54" s="110"/>
      <c r="H54" s="110"/>
      <c r="I54" s="110"/>
      <c r="J54" s="110"/>
      <c r="K54" s="110"/>
      <c r="L54" s="110"/>
      <c r="M54" s="110"/>
      <c r="N54" s="110"/>
      <c r="O54" s="110"/>
      <c r="P54" s="110"/>
      <c r="Q54" s="110"/>
    </row>
    <row r="55" customFormat="false" ht="14.6" hidden="false" customHeight="false" outlineLevel="0" collapsed="false">
      <c r="A55" s="110"/>
      <c r="B55" s="110"/>
      <c r="C55" s="110"/>
      <c r="D55" s="110"/>
      <c r="E55" s="110"/>
      <c r="F55" s="110"/>
      <c r="G55" s="110"/>
      <c r="H55" s="110"/>
      <c r="I55" s="110"/>
      <c r="J55" s="110"/>
      <c r="K55" s="110"/>
      <c r="L55" s="110"/>
      <c r="M55" s="110"/>
      <c r="N55" s="110"/>
      <c r="O55" s="110"/>
      <c r="P55" s="110"/>
      <c r="Q55" s="110"/>
    </row>
    <row r="56" customFormat="false" ht="14.6" hidden="false" customHeight="false" outlineLevel="0" collapsed="false">
      <c r="A56" s="110"/>
      <c r="B56" s="110"/>
      <c r="C56" s="110"/>
      <c r="D56" s="110"/>
      <c r="E56" s="110"/>
      <c r="F56" s="110"/>
      <c r="G56" s="110"/>
      <c r="H56" s="110"/>
      <c r="I56" s="110"/>
      <c r="J56" s="110"/>
      <c r="K56" s="110"/>
      <c r="L56" s="110"/>
      <c r="M56" s="110"/>
      <c r="N56" s="110"/>
      <c r="O56" s="110"/>
      <c r="P56" s="110"/>
      <c r="Q56" s="110"/>
    </row>
    <row r="57" customFormat="false" ht="14.6" hidden="false" customHeight="false" outlineLevel="0" collapsed="false">
      <c r="A57" s="110"/>
      <c r="B57" s="110"/>
      <c r="C57" s="110"/>
      <c r="D57" s="110"/>
      <c r="E57" s="110"/>
      <c r="F57" s="110"/>
      <c r="G57" s="110"/>
      <c r="H57" s="110"/>
      <c r="I57" s="110"/>
      <c r="J57" s="110"/>
      <c r="K57" s="110"/>
      <c r="L57" s="110"/>
      <c r="M57" s="110"/>
      <c r="N57" s="110"/>
      <c r="O57" s="110"/>
      <c r="P57" s="110"/>
      <c r="Q57" s="110"/>
    </row>
    <row r="58" customFormat="false" ht="14.6" hidden="false" customHeight="false" outlineLevel="0" collapsed="false">
      <c r="A58" s="110"/>
      <c r="B58" s="110"/>
      <c r="C58" s="110"/>
      <c r="D58" s="110"/>
      <c r="E58" s="110"/>
      <c r="F58" s="110"/>
      <c r="G58" s="110"/>
      <c r="H58" s="110"/>
      <c r="I58" s="110"/>
      <c r="J58" s="110"/>
      <c r="K58" s="110"/>
      <c r="L58" s="110"/>
      <c r="M58" s="110"/>
      <c r="N58" s="110"/>
      <c r="O58" s="110"/>
      <c r="P58" s="110"/>
      <c r="Q58" s="110"/>
    </row>
    <row r="59" customFormat="false" ht="14.6" hidden="false" customHeight="false" outlineLevel="0" collapsed="false">
      <c r="A59" s="110"/>
      <c r="B59" s="110"/>
      <c r="C59" s="110"/>
      <c r="D59" s="110"/>
      <c r="E59" s="110"/>
      <c r="F59" s="110"/>
      <c r="G59" s="110"/>
      <c r="H59" s="110"/>
      <c r="I59" s="110"/>
      <c r="J59" s="110"/>
      <c r="K59" s="110"/>
      <c r="L59" s="110"/>
      <c r="M59" s="110"/>
      <c r="N59" s="110"/>
      <c r="O59" s="110"/>
      <c r="P59" s="110"/>
      <c r="Q59" s="110"/>
    </row>
    <row r="60" customFormat="false" ht="14.6" hidden="false" customHeight="false" outlineLevel="0" collapsed="false">
      <c r="A60" s="110"/>
      <c r="B60" s="110"/>
      <c r="C60" s="110"/>
      <c r="D60" s="110"/>
      <c r="E60" s="110"/>
      <c r="F60" s="110"/>
      <c r="G60" s="110"/>
      <c r="H60" s="110"/>
      <c r="I60" s="110"/>
      <c r="J60" s="110"/>
      <c r="K60" s="110"/>
      <c r="L60" s="110"/>
      <c r="M60" s="110"/>
      <c r="N60" s="110"/>
      <c r="O60" s="110"/>
      <c r="P60" s="110"/>
      <c r="Q60" s="110"/>
    </row>
    <row r="61" customFormat="false" ht="14.6" hidden="false" customHeight="false" outlineLevel="0" collapsed="false">
      <c r="A61" s="110"/>
      <c r="B61" s="110"/>
      <c r="C61" s="110"/>
      <c r="D61" s="110"/>
      <c r="E61" s="110"/>
      <c r="F61" s="110"/>
      <c r="G61" s="110"/>
      <c r="H61" s="110"/>
      <c r="I61" s="110"/>
      <c r="J61" s="110"/>
      <c r="K61" s="110"/>
      <c r="L61" s="110"/>
      <c r="M61" s="110"/>
      <c r="N61" s="110"/>
      <c r="O61" s="110"/>
      <c r="P61" s="110"/>
      <c r="Q61" s="110"/>
    </row>
    <row r="62" customFormat="false" ht="14.6" hidden="false" customHeight="false" outlineLevel="0" collapsed="false">
      <c r="A62" s="110"/>
      <c r="B62" s="110"/>
      <c r="C62" s="110"/>
      <c r="D62" s="110"/>
      <c r="E62" s="110"/>
      <c r="F62" s="110"/>
      <c r="G62" s="110"/>
      <c r="H62" s="110"/>
      <c r="I62" s="110"/>
      <c r="J62" s="110"/>
      <c r="K62" s="110"/>
      <c r="L62" s="110"/>
      <c r="M62" s="110"/>
      <c r="N62" s="110"/>
      <c r="O62" s="110"/>
      <c r="P62" s="110"/>
      <c r="Q62" s="110"/>
    </row>
    <row r="63" customFormat="false" ht="14.6" hidden="false" customHeight="false" outlineLevel="0" collapsed="false">
      <c r="A63" s="110"/>
      <c r="B63" s="110"/>
      <c r="C63" s="110"/>
      <c r="D63" s="110"/>
      <c r="E63" s="110"/>
      <c r="F63" s="110"/>
      <c r="G63" s="110"/>
      <c r="H63" s="110"/>
      <c r="I63" s="110"/>
      <c r="J63" s="110"/>
      <c r="K63" s="110"/>
      <c r="L63" s="110"/>
      <c r="M63" s="110"/>
      <c r="N63" s="110"/>
      <c r="O63" s="110"/>
      <c r="P63" s="110"/>
      <c r="Q63" s="110"/>
    </row>
    <row r="64" customFormat="false" ht="14.6" hidden="false" customHeight="false" outlineLevel="0" collapsed="false">
      <c r="A64" s="110"/>
      <c r="B64" s="110"/>
      <c r="C64" s="110"/>
      <c r="D64" s="110"/>
      <c r="E64" s="110"/>
      <c r="F64" s="110"/>
      <c r="G64" s="110"/>
      <c r="H64" s="110"/>
      <c r="I64" s="110"/>
      <c r="J64" s="110"/>
      <c r="K64" s="110"/>
      <c r="L64" s="110"/>
      <c r="M64" s="110"/>
      <c r="N64" s="110"/>
      <c r="O64" s="110"/>
      <c r="P64" s="110"/>
      <c r="Q64" s="110"/>
    </row>
    <row r="65" customFormat="false" ht="14.6" hidden="false" customHeight="false" outlineLevel="0" collapsed="false">
      <c r="A65" s="110"/>
      <c r="B65" s="110"/>
      <c r="C65" s="110"/>
      <c r="D65" s="110"/>
      <c r="E65" s="110"/>
      <c r="F65" s="110"/>
      <c r="G65" s="110"/>
      <c r="H65" s="110"/>
      <c r="I65" s="110"/>
      <c r="J65" s="110"/>
      <c r="K65" s="110"/>
      <c r="L65" s="110"/>
      <c r="M65" s="110"/>
      <c r="N65" s="110"/>
      <c r="O65" s="110"/>
      <c r="P65" s="110"/>
      <c r="Q65" s="110"/>
    </row>
    <row r="66" customFormat="false" ht="14.6" hidden="false" customHeight="false" outlineLevel="0" collapsed="false">
      <c r="A66" s="110"/>
      <c r="B66" s="110"/>
      <c r="C66" s="110"/>
      <c r="D66" s="110"/>
      <c r="E66" s="110"/>
      <c r="F66" s="110"/>
      <c r="G66" s="110"/>
      <c r="H66" s="110"/>
      <c r="I66" s="110"/>
      <c r="J66" s="110"/>
      <c r="K66" s="110"/>
      <c r="L66" s="110"/>
      <c r="M66" s="110"/>
      <c r="N66" s="110"/>
      <c r="O66" s="110"/>
      <c r="P66" s="110"/>
      <c r="Q66" s="110"/>
    </row>
    <row r="67" customFormat="false" ht="14.6" hidden="false" customHeight="false" outlineLevel="0" collapsed="false">
      <c r="A67" s="110"/>
      <c r="B67" s="110"/>
      <c r="C67" s="110"/>
      <c r="D67" s="110"/>
      <c r="E67" s="110"/>
      <c r="F67" s="110"/>
      <c r="G67" s="110"/>
      <c r="H67" s="110"/>
      <c r="I67" s="110"/>
      <c r="J67" s="110"/>
      <c r="K67" s="110"/>
      <c r="L67" s="110"/>
      <c r="M67" s="110"/>
      <c r="N67" s="110"/>
      <c r="O67" s="110"/>
      <c r="P67" s="110"/>
      <c r="Q67" s="110"/>
    </row>
    <row r="68" customFormat="false" ht="14.6" hidden="false" customHeight="false" outlineLevel="0" collapsed="false">
      <c r="A68" s="110"/>
      <c r="B68" s="110"/>
      <c r="C68" s="110"/>
      <c r="D68" s="110"/>
      <c r="E68" s="110"/>
      <c r="F68" s="110"/>
      <c r="G68" s="110"/>
      <c r="H68" s="110"/>
      <c r="I68" s="110"/>
      <c r="J68" s="110"/>
      <c r="K68" s="110"/>
      <c r="L68" s="110"/>
      <c r="M68" s="110"/>
      <c r="N68" s="110"/>
      <c r="O68" s="110"/>
      <c r="P68" s="110"/>
      <c r="Q68" s="110"/>
    </row>
    <row r="69" customFormat="false" ht="14.6" hidden="false" customHeight="false" outlineLevel="0" collapsed="false">
      <c r="A69" s="110"/>
      <c r="B69" s="110"/>
      <c r="C69" s="110"/>
      <c r="D69" s="110"/>
      <c r="E69" s="110"/>
      <c r="F69" s="110"/>
      <c r="G69" s="110"/>
      <c r="H69" s="110"/>
      <c r="I69" s="110"/>
      <c r="J69" s="110"/>
      <c r="K69" s="110"/>
      <c r="L69" s="110"/>
      <c r="M69" s="110"/>
      <c r="N69" s="110"/>
      <c r="O69" s="110"/>
      <c r="P69" s="110"/>
      <c r="Q69" s="110"/>
    </row>
    <row r="70" customFormat="false" ht="14.6" hidden="false" customHeight="false" outlineLevel="0" collapsed="false">
      <c r="A70" s="110"/>
      <c r="B70" s="110"/>
      <c r="C70" s="110"/>
      <c r="D70" s="110"/>
      <c r="E70" s="110"/>
      <c r="F70" s="110"/>
      <c r="G70" s="110"/>
      <c r="H70" s="110"/>
      <c r="I70" s="110"/>
      <c r="J70" s="110"/>
      <c r="K70" s="110"/>
      <c r="L70" s="110"/>
      <c r="M70" s="110"/>
      <c r="N70" s="110"/>
      <c r="O70" s="110"/>
      <c r="P70" s="110"/>
      <c r="Q70" s="110"/>
    </row>
    <row r="71" customFormat="false" ht="14.6" hidden="false" customHeight="false" outlineLevel="0" collapsed="false">
      <c r="A71" s="110"/>
      <c r="B71" s="110"/>
      <c r="C71" s="110"/>
      <c r="D71" s="110"/>
      <c r="E71" s="110"/>
      <c r="F71" s="110"/>
      <c r="G71" s="110"/>
      <c r="H71" s="110"/>
      <c r="I71" s="110"/>
      <c r="J71" s="110"/>
      <c r="K71" s="110"/>
      <c r="L71" s="110"/>
      <c r="M71" s="110"/>
      <c r="N71" s="110"/>
      <c r="O71" s="110"/>
      <c r="P71" s="110"/>
      <c r="Q71" s="110"/>
    </row>
    <row r="72" customFormat="false" ht="14.6" hidden="false" customHeight="false" outlineLevel="0" collapsed="false">
      <c r="A72" s="110"/>
      <c r="B72" s="110"/>
      <c r="C72" s="110"/>
      <c r="D72" s="110"/>
      <c r="E72" s="110"/>
      <c r="F72" s="110"/>
      <c r="G72" s="110"/>
      <c r="H72" s="110"/>
      <c r="I72" s="110"/>
      <c r="J72" s="110"/>
      <c r="K72" s="110"/>
      <c r="L72" s="110"/>
      <c r="M72" s="110"/>
      <c r="N72" s="110"/>
      <c r="O72" s="110"/>
      <c r="P72" s="110"/>
      <c r="Q72" s="110"/>
    </row>
    <row r="73" customFormat="false" ht="14.6" hidden="false" customHeight="false" outlineLevel="0" collapsed="false">
      <c r="A73" s="110"/>
      <c r="B73" s="110"/>
      <c r="C73" s="110"/>
      <c r="D73" s="110"/>
      <c r="E73" s="110"/>
      <c r="F73" s="110"/>
      <c r="G73" s="110"/>
      <c r="H73" s="110"/>
      <c r="I73" s="110"/>
      <c r="J73" s="110"/>
      <c r="K73" s="110"/>
      <c r="L73" s="110"/>
      <c r="M73" s="110"/>
      <c r="N73" s="110"/>
      <c r="O73" s="110"/>
      <c r="P73" s="110"/>
      <c r="Q73" s="110"/>
    </row>
    <row r="74" customFormat="false" ht="14.6" hidden="false" customHeight="false" outlineLevel="0" collapsed="false">
      <c r="A74" s="110"/>
      <c r="B74" s="110"/>
      <c r="C74" s="110"/>
      <c r="D74" s="110"/>
      <c r="E74" s="110"/>
      <c r="F74" s="110"/>
      <c r="G74" s="110"/>
      <c r="H74" s="110"/>
      <c r="I74" s="110"/>
      <c r="J74" s="110"/>
      <c r="K74" s="110"/>
      <c r="L74" s="110"/>
      <c r="M74" s="110"/>
      <c r="N74" s="110"/>
      <c r="O74" s="110"/>
      <c r="P74" s="110"/>
      <c r="Q74" s="110"/>
    </row>
    <row r="75" customFormat="false" ht="14.6" hidden="false" customHeight="false" outlineLevel="0" collapsed="false">
      <c r="A75" s="110"/>
      <c r="B75" s="110"/>
      <c r="C75" s="110"/>
      <c r="D75" s="110"/>
      <c r="E75" s="110"/>
      <c r="F75" s="110"/>
      <c r="G75" s="110"/>
      <c r="H75" s="110"/>
      <c r="I75" s="110"/>
      <c r="J75" s="110"/>
      <c r="K75" s="110"/>
      <c r="L75" s="110"/>
      <c r="M75" s="110"/>
      <c r="N75" s="110"/>
      <c r="O75" s="110"/>
      <c r="P75" s="110"/>
      <c r="Q75" s="110"/>
    </row>
    <row r="76" customFormat="false" ht="14.6" hidden="false" customHeight="false" outlineLevel="0" collapsed="false">
      <c r="A76" s="110"/>
      <c r="B76" s="110"/>
      <c r="C76" s="110"/>
      <c r="D76" s="110"/>
      <c r="E76" s="110"/>
      <c r="F76" s="110"/>
      <c r="G76" s="110"/>
      <c r="H76" s="110"/>
      <c r="I76" s="110"/>
      <c r="J76" s="110"/>
      <c r="K76" s="110"/>
      <c r="L76" s="110"/>
      <c r="M76" s="110"/>
      <c r="N76" s="110"/>
      <c r="O76" s="110"/>
      <c r="P76" s="110"/>
      <c r="Q76" s="110"/>
    </row>
    <row r="77" customFormat="false" ht="14.6" hidden="false" customHeight="false" outlineLevel="0" collapsed="false">
      <c r="A77" s="110"/>
      <c r="B77" s="110"/>
      <c r="C77" s="110"/>
      <c r="D77" s="110"/>
      <c r="E77" s="110"/>
      <c r="F77" s="110"/>
      <c r="G77" s="110"/>
      <c r="H77" s="110"/>
      <c r="I77" s="110"/>
      <c r="J77" s="110"/>
      <c r="K77" s="110"/>
      <c r="L77" s="110"/>
      <c r="M77" s="110"/>
      <c r="N77" s="110"/>
      <c r="O77" s="110"/>
      <c r="P77" s="110"/>
      <c r="Q77" s="110"/>
    </row>
    <row r="78" customFormat="false" ht="14.6" hidden="false" customHeight="false" outlineLevel="0" collapsed="false">
      <c r="A78" s="110"/>
      <c r="B78" s="110"/>
      <c r="C78" s="110"/>
      <c r="D78" s="110"/>
      <c r="E78" s="110"/>
      <c r="F78" s="110"/>
      <c r="G78" s="110"/>
      <c r="H78" s="110"/>
      <c r="I78" s="110"/>
      <c r="J78" s="110"/>
      <c r="K78" s="110"/>
      <c r="L78" s="110"/>
      <c r="M78" s="110"/>
      <c r="N78" s="110"/>
      <c r="O78" s="110"/>
      <c r="P78" s="110"/>
      <c r="Q78" s="110"/>
    </row>
    <row r="79" customFormat="false" ht="14.6" hidden="false" customHeight="false" outlineLevel="0" collapsed="false">
      <c r="A79" s="110"/>
      <c r="B79" s="110"/>
      <c r="C79" s="110"/>
      <c r="D79" s="110"/>
      <c r="E79" s="110"/>
      <c r="F79" s="110"/>
      <c r="G79" s="110"/>
      <c r="H79" s="110"/>
      <c r="I79" s="110"/>
      <c r="J79" s="110"/>
      <c r="K79" s="110"/>
      <c r="L79" s="110"/>
      <c r="M79" s="110"/>
      <c r="N79" s="110"/>
      <c r="O79" s="110"/>
      <c r="P79" s="110"/>
      <c r="Q79" s="110"/>
    </row>
    <row r="80" customFormat="false" ht="14.6" hidden="false" customHeight="false" outlineLevel="0" collapsed="false">
      <c r="A80" s="110"/>
      <c r="B80" s="110"/>
      <c r="C80" s="110"/>
      <c r="D80" s="110"/>
      <c r="E80" s="110"/>
      <c r="F80" s="110"/>
      <c r="G80" s="110"/>
      <c r="H80" s="110"/>
      <c r="I80" s="110"/>
      <c r="J80" s="110"/>
      <c r="K80" s="110"/>
      <c r="L80" s="110"/>
      <c r="M80" s="110"/>
      <c r="N80" s="110"/>
      <c r="O80" s="110"/>
      <c r="P80" s="110"/>
      <c r="Q80" s="110"/>
    </row>
    <row r="81" customFormat="false" ht="14.6" hidden="false" customHeight="false" outlineLevel="0" collapsed="false">
      <c r="A81" s="110"/>
      <c r="B81" s="110"/>
      <c r="C81" s="110"/>
      <c r="D81" s="110"/>
      <c r="E81" s="110"/>
      <c r="F81" s="110"/>
      <c r="G81" s="110"/>
      <c r="H81" s="110"/>
      <c r="I81" s="110"/>
      <c r="J81" s="110"/>
      <c r="K81" s="110"/>
      <c r="L81" s="110"/>
      <c r="M81" s="110"/>
      <c r="N81" s="110"/>
      <c r="O81" s="110"/>
      <c r="P81" s="110"/>
      <c r="Q81" s="110"/>
    </row>
    <row r="82" customFormat="false" ht="14.6" hidden="false" customHeight="false" outlineLevel="0" collapsed="false">
      <c r="A82" s="110"/>
      <c r="B82" s="110"/>
      <c r="C82" s="110"/>
      <c r="D82" s="110"/>
      <c r="E82" s="110"/>
      <c r="F82" s="110"/>
      <c r="G82" s="110"/>
      <c r="H82" s="110"/>
      <c r="I82" s="110"/>
      <c r="J82" s="110"/>
      <c r="K82" s="110"/>
      <c r="L82" s="110"/>
      <c r="M82" s="110"/>
      <c r="N82" s="110"/>
      <c r="O82" s="110"/>
      <c r="P82" s="110"/>
      <c r="Q82" s="11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tabColor rgb="FF8FAADC"/>
    <pageSetUpPr fitToPage="false"/>
  </sheetPr>
  <dimension ref="B1:E53"/>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C14" activeCellId="0" sqref="C14"/>
    </sheetView>
  </sheetViews>
  <sheetFormatPr defaultRowHeight="14.6" zeroHeight="false" outlineLevelRow="0" outlineLevelCol="0"/>
  <cols>
    <col collapsed="false" customWidth="true" hidden="false" outlineLevel="0" max="1" min="1" style="0" width="8.75"/>
    <col collapsed="false" customWidth="true" hidden="false" outlineLevel="0" max="2" min="2" style="0" width="12.15"/>
    <col collapsed="false" customWidth="true" hidden="false" outlineLevel="0" max="3" min="3" style="0" width="132.69"/>
    <col collapsed="false" customWidth="true" hidden="false" outlineLevel="0" max="4" min="4" style="0" width="21.3"/>
    <col collapsed="false" customWidth="true" hidden="false" outlineLevel="0" max="5" min="5" style="0" width="111.38"/>
    <col collapsed="false" customWidth="true" hidden="false" outlineLevel="0" max="1025" min="6" style="0" width="8.75"/>
  </cols>
  <sheetData>
    <row r="1" customFormat="false" ht="43.75" hidden="false" customHeight="false" outlineLevel="0" collapsed="false">
      <c r="B1" s="122" t="s">
        <v>788</v>
      </c>
      <c r="C1" s="122" t="s">
        <v>705</v>
      </c>
      <c r="E1" s="8" t="s">
        <v>789</v>
      </c>
    </row>
    <row r="2" customFormat="false" ht="14.6" hidden="false" customHeight="false" outlineLevel="0" collapsed="false">
      <c r="B2" s="123" t="n">
        <v>1</v>
      </c>
      <c r="C2" s="124" t="s">
        <v>790</v>
      </c>
      <c r="E2" s="0" t="s">
        <v>791</v>
      </c>
    </row>
    <row r="3" customFormat="false" ht="14.6" hidden="false" customHeight="false" outlineLevel="0" collapsed="false">
      <c r="B3" s="123" t="n">
        <v>2</v>
      </c>
      <c r="C3" s="124" t="s">
        <v>792</v>
      </c>
      <c r="E3" s="0" t="s">
        <v>793</v>
      </c>
    </row>
    <row r="4" customFormat="false" ht="14.6" hidden="false" customHeight="false" outlineLevel="0" collapsed="false">
      <c r="B4" s="123" t="n">
        <v>3</v>
      </c>
      <c r="C4" s="124" t="s">
        <v>794</v>
      </c>
      <c r="E4" s="0" t="s">
        <v>795</v>
      </c>
    </row>
    <row r="5" customFormat="false" ht="14.6" hidden="false" customHeight="false" outlineLevel="0" collapsed="false">
      <c r="B5" s="123" t="n">
        <v>4</v>
      </c>
      <c r="C5" s="124" t="s">
        <v>796</v>
      </c>
      <c r="E5" s="92" t="s">
        <v>797</v>
      </c>
    </row>
    <row r="6" customFormat="false" ht="14.6" hidden="false" customHeight="false" outlineLevel="0" collapsed="false">
      <c r="B6" s="123" t="n">
        <v>5</v>
      </c>
      <c r="C6" s="124" t="s">
        <v>798</v>
      </c>
      <c r="E6" s="0" t="s">
        <v>799</v>
      </c>
    </row>
    <row r="7" customFormat="false" ht="14.6" hidden="false" customHeight="false" outlineLevel="0" collapsed="false">
      <c r="B7" s="123" t="n">
        <v>6</v>
      </c>
      <c r="C7" s="124" t="s">
        <v>800</v>
      </c>
    </row>
    <row r="8" customFormat="false" ht="14.6" hidden="false" customHeight="false" outlineLevel="0" collapsed="false">
      <c r="B8" s="122"/>
      <c r="C8" s="122" t="s">
        <v>801</v>
      </c>
      <c r="E8" s="0" t="s">
        <v>802</v>
      </c>
    </row>
    <row r="9" customFormat="false" ht="14.6" hidden="false" customHeight="false" outlineLevel="0" collapsed="false">
      <c r="B9" s="125" t="n">
        <v>7</v>
      </c>
      <c r="C9" s="126" t="s">
        <v>803</v>
      </c>
      <c r="E9" s="0" t="s">
        <v>804</v>
      </c>
    </row>
    <row r="10" customFormat="false" ht="14.6" hidden="false" customHeight="false" outlineLevel="0" collapsed="false">
      <c r="B10" s="125" t="n">
        <v>8</v>
      </c>
      <c r="C10" s="126" t="s">
        <v>805</v>
      </c>
      <c r="E10" s="0" t="s">
        <v>806</v>
      </c>
    </row>
    <row r="11" customFormat="false" ht="14.6" hidden="false" customHeight="false" outlineLevel="0" collapsed="false">
      <c r="B11" s="125" t="n">
        <v>9</v>
      </c>
      <c r="C11" s="126" t="s">
        <v>807</v>
      </c>
    </row>
    <row r="12" customFormat="false" ht="14.6" hidden="false" customHeight="false" outlineLevel="0" collapsed="false">
      <c r="B12" s="125" t="n">
        <v>10</v>
      </c>
      <c r="C12" s="126" t="s">
        <v>808</v>
      </c>
    </row>
    <row r="13" customFormat="false" ht="14.6" hidden="false" customHeight="false" outlineLevel="0" collapsed="false">
      <c r="B13" s="122"/>
      <c r="C13" s="122" t="s">
        <v>809</v>
      </c>
    </row>
    <row r="14" customFormat="false" ht="14.6" hidden="false" customHeight="false" outlineLevel="0" collapsed="false">
      <c r="B14" s="125" t="n">
        <v>11</v>
      </c>
      <c r="C14" s="126" t="s">
        <v>810</v>
      </c>
    </row>
    <row r="15" customFormat="false" ht="14.6" hidden="false" customHeight="false" outlineLevel="0" collapsed="false">
      <c r="B15" s="125" t="n">
        <v>12</v>
      </c>
      <c r="C15" s="126" t="s">
        <v>811</v>
      </c>
    </row>
    <row r="16" customFormat="false" ht="14.6" hidden="false" customHeight="false" outlineLevel="0" collapsed="false">
      <c r="B16" s="125" t="n">
        <v>13</v>
      </c>
      <c r="C16" s="126" t="s">
        <v>812</v>
      </c>
    </row>
    <row r="17" customFormat="false" ht="14.6" hidden="false" customHeight="false" outlineLevel="0" collapsed="false">
      <c r="B17" s="122"/>
      <c r="C17" s="122" t="s">
        <v>813</v>
      </c>
    </row>
    <row r="18" customFormat="false" ht="14.6" hidden="false" customHeight="false" outlineLevel="0" collapsed="false">
      <c r="B18" s="125" t="n">
        <v>14</v>
      </c>
      <c r="C18" s="126" t="s">
        <v>814</v>
      </c>
    </row>
    <row r="19" customFormat="false" ht="14.6" hidden="false" customHeight="false" outlineLevel="0" collapsed="false">
      <c r="B19" s="125" t="n">
        <v>15</v>
      </c>
      <c r="C19" s="126" t="s">
        <v>815</v>
      </c>
    </row>
    <row r="20" customFormat="false" ht="14.6" hidden="false" customHeight="false" outlineLevel="0" collapsed="false">
      <c r="B20" s="125" t="n">
        <v>16</v>
      </c>
      <c r="C20" s="126" t="s">
        <v>816</v>
      </c>
    </row>
    <row r="21" customFormat="false" ht="14.6" hidden="false" customHeight="false" outlineLevel="0" collapsed="false">
      <c r="B21" s="125" t="n">
        <v>17</v>
      </c>
      <c r="C21" s="126" t="s">
        <v>817</v>
      </c>
    </row>
    <row r="22" customFormat="false" ht="14.6" hidden="false" customHeight="false" outlineLevel="0" collapsed="false">
      <c r="B22" s="122"/>
      <c r="C22" s="122" t="s">
        <v>746</v>
      </c>
    </row>
    <row r="23" customFormat="false" ht="14.6" hidden="false" customHeight="false" outlineLevel="0" collapsed="false">
      <c r="B23" s="125" t="n">
        <v>18</v>
      </c>
      <c r="C23" s="124" t="s">
        <v>818</v>
      </c>
    </row>
    <row r="24" customFormat="false" ht="14.6" hidden="false" customHeight="false" outlineLevel="0" collapsed="false">
      <c r="B24" s="125" t="n">
        <v>19</v>
      </c>
      <c r="C24" s="124" t="s">
        <v>819</v>
      </c>
    </row>
    <row r="25" customFormat="false" ht="14.6" hidden="false" customHeight="false" outlineLevel="0" collapsed="false">
      <c r="B25" s="125" t="n">
        <v>20</v>
      </c>
      <c r="C25" s="127" t="s">
        <v>820</v>
      </c>
    </row>
    <row r="26" customFormat="false" ht="14.6" hidden="false" customHeight="false" outlineLevel="0" collapsed="false">
      <c r="B26" s="125" t="n">
        <v>21</v>
      </c>
      <c r="C26" s="126" t="s">
        <v>821</v>
      </c>
    </row>
    <row r="27" customFormat="false" ht="14.6" hidden="false" customHeight="false" outlineLevel="0" collapsed="false">
      <c r="B27" s="122"/>
      <c r="C27" s="122" t="s">
        <v>822</v>
      </c>
    </row>
    <row r="28" customFormat="false" ht="29.15" hidden="false" customHeight="false" outlineLevel="0" collapsed="false">
      <c r="B28" s="125" t="n">
        <v>22</v>
      </c>
      <c r="C28" s="128" t="s">
        <v>823</v>
      </c>
    </row>
    <row r="29" customFormat="false" ht="29.15" hidden="false" customHeight="false" outlineLevel="0" collapsed="false">
      <c r="B29" s="125" t="n">
        <v>23</v>
      </c>
      <c r="C29" s="128" t="s">
        <v>824</v>
      </c>
    </row>
    <row r="30" customFormat="false" ht="14.6" hidden="false" customHeight="false" outlineLevel="0" collapsed="false">
      <c r="B30" s="125" t="n">
        <v>24</v>
      </c>
      <c r="C30" s="128" t="s">
        <v>825</v>
      </c>
    </row>
    <row r="31" customFormat="false" ht="14.6" hidden="false" customHeight="false" outlineLevel="0" collapsed="false">
      <c r="B31" s="125" t="n">
        <v>25</v>
      </c>
      <c r="C31" s="128" t="s">
        <v>826</v>
      </c>
    </row>
    <row r="32" customFormat="false" ht="14.6" hidden="false" customHeight="false" outlineLevel="0" collapsed="false">
      <c r="B32" s="122"/>
      <c r="C32" s="122" t="s">
        <v>827</v>
      </c>
    </row>
    <row r="33" customFormat="false" ht="14.6" hidden="false" customHeight="false" outlineLevel="0" collapsed="false">
      <c r="B33" s="125" t="n">
        <v>26</v>
      </c>
      <c r="C33" s="126" t="s">
        <v>828</v>
      </c>
    </row>
    <row r="34" customFormat="false" ht="14.6" hidden="false" customHeight="false" outlineLevel="0" collapsed="false">
      <c r="B34" s="125" t="n">
        <v>27</v>
      </c>
      <c r="C34" s="126" t="s">
        <v>829</v>
      </c>
    </row>
    <row r="35" customFormat="false" ht="14.6" hidden="false" customHeight="false" outlineLevel="0" collapsed="false">
      <c r="B35" s="125" t="n">
        <v>28</v>
      </c>
      <c r="C35" s="126" t="s">
        <v>830</v>
      </c>
    </row>
    <row r="36" customFormat="false" ht="14.6" hidden="false" customHeight="false" outlineLevel="0" collapsed="false">
      <c r="B36" s="125" t="n">
        <v>29</v>
      </c>
      <c r="C36" s="126" t="s">
        <v>831</v>
      </c>
    </row>
    <row r="37" customFormat="false" ht="14.6" hidden="false" customHeight="false" outlineLevel="0" collapsed="false">
      <c r="B37" s="122"/>
      <c r="C37" s="122" t="s">
        <v>832</v>
      </c>
    </row>
    <row r="38" customFormat="false" ht="14.6" hidden="false" customHeight="false" outlineLevel="0" collapsed="false">
      <c r="B38" s="125" t="n">
        <v>30</v>
      </c>
      <c r="C38" s="126" t="s">
        <v>833</v>
      </c>
    </row>
    <row r="39" customFormat="false" ht="14.6" hidden="false" customHeight="false" outlineLevel="0" collapsed="false">
      <c r="B39" s="125" t="n">
        <v>31</v>
      </c>
      <c r="C39" s="126" t="s">
        <v>834</v>
      </c>
    </row>
    <row r="40" customFormat="false" ht="14.6" hidden="false" customHeight="false" outlineLevel="0" collapsed="false">
      <c r="B40" s="125" t="n">
        <v>32</v>
      </c>
      <c r="C40" s="126" t="s">
        <v>835</v>
      </c>
    </row>
    <row r="41" customFormat="false" ht="14.6" hidden="false" customHeight="false" outlineLevel="0" collapsed="false">
      <c r="B41" s="125" t="n">
        <v>33</v>
      </c>
      <c r="C41" s="126" t="s">
        <v>836</v>
      </c>
    </row>
    <row r="42" customFormat="false" ht="14.6" hidden="false" customHeight="false" outlineLevel="0" collapsed="false">
      <c r="B42" s="125" t="n">
        <v>34</v>
      </c>
      <c r="C42" s="126" t="s">
        <v>837</v>
      </c>
    </row>
    <row r="43" customFormat="false" ht="14.6" hidden="false" customHeight="false" outlineLevel="0" collapsed="false">
      <c r="B43" s="125" t="n">
        <v>35</v>
      </c>
      <c r="C43" s="126" t="s">
        <v>838</v>
      </c>
    </row>
    <row r="44" customFormat="false" ht="14.6" hidden="false" customHeight="false" outlineLevel="0" collapsed="false">
      <c r="B44" s="125" t="n">
        <v>36</v>
      </c>
      <c r="C44" s="126" t="s">
        <v>839</v>
      </c>
    </row>
    <row r="45" customFormat="false" ht="14.6" hidden="false" customHeight="false" outlineLevel="0" collapsed="false">
      <c r="B45" s="122"/>
      <c r="C45" s="122" t="s">
        <v>840</v>
      </c>
    </row>
    <row r="46" customFormat="false" ht="14.6" hidden="false" customHeight="false" outlineLevel="0" collapsed="false">
      <c r="B46" s="125" t="n">
        <v>37</v>
      </c>
      <c r="C46" s="126" t="s">
        <v>841</v>
      </c>
    </row>
    <row r="47" customFormat="false" ht="14.6" hidden="false" customHeight="false" outlineLevel="0" collapsed="false">
      <c r="B47" s="125" t="n">
        <v>38</v>
      </c>
      <c r="C47" s="126" t="s">
        <v>842</v>
      </c>
    </row>
    <row r="48" customFormat="false" ht="14.6" hidden="false" customHeight="false" outlineLevel="0" collapsed="false">
      <c r="B48" s="125" t="n">
        <v>39</v>
      </c>
      <c r="C48" s="126" t="s">
        <v>843</v>
      </c>
    </row>
    <row r="49" customFormat="false" ht="14.6" hidden="false" customHeight="false" outlineLevel="0" collapsed="false">
      <c r="B49" s="125" t="n">
        <v>40</v>
      </c>
      <c r="C49" s="126" t="s">
        <v>844</v>
      </c>
    </row>
    <row r="50" customFormat="false" ht="14.6" hidden="false" customHeight="false" outlineLevel="0" collapsed="false">
      <c r="B50" s="125" t="n">
        <v>41</v>
      </c>
      <c r="C50" s="126" t="s">
        <v>845</v>
      </c>
    </row>
    <row r="51" customFormat="false" ht="14.6" hidden="false" customHeight="false" outlineLevel="0" collapsed="false">
      <c r="B51" s="125" t="n">
        <v>42</v>
      </c>
      <c r="C51" s="126" t="s">
        <v>846</v>
      </c>
    </row>
    <row r="52" customFormat="false" ht="29.15" hidden="false" customHeight="false" outlineLevel="0" collapsed="false">
      <c r="B52" s="125" t="n">
        <v>43</v>
      </c>
      <c r="C52" s="128" t="s">
        <v>847</v>
      </c>
    </row>
    <row r="53" customFormat="false" ht="14.6" hidden="false" customHeight="false" outlineLevel="0" collapsed="false">
      <c r="B53" s="122"/>
      <c r="C53" s="122"/>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8FAADC"/>
    <pageSetUpPr fitToPage="false"/>
  </sheetPr>
  <dimension ref="A1:B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3" activeCellId="0" sqref="B13"/>
    </sheetView>
  </sheetViews>
  <sheetFormatPr defaultRowHeight="14.6" zeroHeight="false" outlineLevelRow="0" outlineLevelCol="0"/>
  <cols>
    <col collapsed="false" customWidth="true" hidden="false" outlineLevel="0" max="1" min="1" style="0" width="33.38"/>
    <col collapsed="false" customWidth="true" hidden="false" outlineLevel="0" max="2" min="2" style="0" width="194.53"/>
    <col collapsed="false" customWidth="true" hidden="false" outlineLevel="0" max="1025" min="3" style="0" width="8.75"/>
  </cols>
  <sheetData>
    <row r="1" customFormat="false" ht="14.6" hidden="false" customHeight="false" outlineLevel="0" collapsed="false">
      <c r="A1" s="122" t="s">
        <v>848</v>
      </c>
      <c r="B1" s="122" t="s">
        <v>849</v>
      </c>
    </row>
    <row r="2" customFormat="false" ht="14.6" hidden="false" customHeight="false" outlineLevel="0" collapsed="false">
      <c r="A2" s="129" t="s">
        <v>850</v>
      </c>
      <c r="B2" s="124" t="s">
        <v>851</v>
      </c>
    </row>
    <row r="3" customFormat="false" ht="14.6" hidden="false" customHeight="false" outlineLevel="0" collapsed="false">
      <c r="A3" s="129" t="s">
        <v>852</v>
      </c>
      <c r="B3" s="124" t="s">
        <v>853</v>
      </c>
    </row>
    <row r="4" customFormat="false" ht="14.6" hidden="false" customHeight="false" outlineLevel="0" collapsed="false">
      <c r="A4" s="129" t="s">
        <v>854</v>
      </c>
      <c r="B4" s="124" t="s">
        <v>855</v>
      </c>
    </row>
    <row r="5" customFormat="false" ht="29.15" hidden="false" customHeight="false" outlineLevel="0" collapsed="false">
      <c r="A5" s="129" t="s">
        <v>856</v>
      </c>
      <c r="B5" s="127" t="s">
        <v>857</v>
      </c>
    </row>
    <row r="6" customFormat="false" ht="14.6" hidden="false" customHeight="false" outlineLevel="0" collapsed="false">
      <c r="A6" s="129" t="s">
        <v>858</v>
      </c>
      <c r="B6" s="124" t="s">
        <v>859</v>
      </c>
    </row>
    <row r="7" customFormat="false" ht="29.15" hidden="false" customHeight="false" outlineLevel="0" collapsed="false">
      <c r="A7" s="129" t="s">
        <v>860</v>
      </c>
      <c r="B7" s="127" t="s">
        <v>861</v>
      </c>
    </row>
    <row r="8" customFormat="false" ht="14.6" hidden="false" customHeight="false" outlineLevel="0" collapsed="false">
      <c r="A8" s="129" t="s">
        <v>862</v>
      </c>
      <c r="B8" s="124" t="s">
        <v>863</v>
      </c>
    </row>
    <row r="9" customFormat="false" ht="14.6" hidden="false" customHeight="false" outlineLevel="0" collapsed="false">
      <c r="A9" s="129" t="s">
        <v>864</v>
      </c>
      <c r="B9" s="124" t="s">
        <v>865</v>
      </c>
    </row>
    <row r="10" customFormat="false" ht="14.6" hidden="false" customHeight="false" outlineLevel="0" collapsed="false">
      <c r="A10" s="129" t="s">
        <v>866</v>
      </c>
      <c r="B10" s="124" t="s">
        <v>867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tabColor rgb="FF8FAADC"/>
    <pageSetUpPr fitToPage="false"/>
  </sheetPr>
  <dimension ref="A1:C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RowHeight="14.6" zeroHeight="false" outlineLevelRow="0" outlineLevelCol="0"/>
  <cols>
    <col collapsed="false" customWidth="true" hidden="false" outlineLevel="0" max="1" min="1" style="0" width="24.3"/>
    <col collapsed="false" customWidth="true" hidden="false" outlineLevel="0" max="2" min="2" style="0" width="133.53"/>
    <col collapsed="false" customWidth="true" hidden="false" outlineLevel="0" max="3" min="3" style="0" width="82.3"/>
    <col collapsed="false" customWidth="true" hidden="false" outlineLevel="0" max="1025" min="4" style="0" width="8.75"/>
  </cols>
  <sheetData>
    <row r="1" customFormat="false" ht="14.6" hidden="false" customHeight="false" outlineLevel="0" collapsed="false">
      <c r="A1" s="80" t="s">
        <v>868</v>
      </c>
      <c r="B1" s="80" t="s">
        <v>1</v>
      </c>
      <c r="C1" s="80" t="s">
        <v>869</v>
      </c>
    </row>
    <row r="2" customFormat="false" ht="29.15" hidden="false" customHeight="false" outlineLevel="0" collapsed="false">
      <c r="A2" s="80" t="s">
        <v>870</v>
      </c>
      <c r="B2" s="80" t="s">
        <v>871</v>
      </c>
      <c r="C2" s="130" t="s">
        <v>872</v>
      </c>
    </row>
    <row r="3" customFormat="false" ht="14.6" hidden="false" customHeight="false" outlineLevel="0" collapsed="false">
      <c r="A3" s="80" t="s">
        <v>870</v>
      </c>
      <c r="B3" s="80" t="s">
        <v>873</v>
      </c>
      <c r="C3" s="80"/>
    </row>
    <row r="4" customFormat="false" ht="14.6" hidden="false" customHeight="false" outlineLevel="0" collapsed="false">
      <c r="A4" s="0" t="s">
        <v>874</v>
      </c>
      <c r="B4" s="0" t="s">
        <v>875</v>
      </c>
      <c r="C4" s="0" t="s">
        <v>876</v>
      </c>
    </row>
    <row r="5" customFormat="false" ht="14.6" hidden="false" customHeight="false" outlineLevel="0" collapsed="false">
      <c r="A5" s="0" t="s">
        <v>877</v>
      </c>
      <c r="B5" s="0" t="s">
        <v>878</v>
      </c>
      <c r="C5" s="0" t="s">
        <v>879</v>
      </c>
    </row>
    <row r="6" customFormat="false" ht="14.6" hidden="false" customHeight="false" outlineLevel="0" collapsed="false">
      <c r="A6" s="0" t="s">
        <v>880</v>
      </c>
      <c r="B6" s="0" t="s">
        <v>881</v>
      </c>
      <c r="C6" s="0" t="s">
        <v>882</v>
      </c>
    </row>
    <row r="7" customFormat="false" ht="14.6" hidden="false" customHeight="false" outlineLevel="0" collapsed="false">
      <c r="A7" s="0" t="s">
        <v>883</v>
      </c>
      <c r="B7" s="0" t="s">
        <v>884</v>
      </c>
    </row>
    <row r="8" customFormat="false" ht="14.6" hidden="false" customHeight="false" outlineLevel="0" collapsed="false">
      <c r="A8" s="0" t="s">
        <v>885</v>
      </c>
      <c r="B8" s="0" t="s">
        <v>886</v>
      </c>
      <c r="C8" s="0" t="s">
        <v>887</v>
      </c>
    </row>
    <row r="9" customFormat="false" ht="14.6" hidden="false" customHeight="false" outlineLevel="0" collapsed="false">
      <c r="A9" s="0" t="s">
        <v>888</v>
      </c>
      <c r="B9" s="0" t="s">
        <v>889</v>
      </c>
      <c r="C9" s="0" t="s">
        <v>890</v>
      </c>
    </row>
    <row r="10" customFormat="false" ht="14.6" hidden="false" customHeight="false" outlineLevel="0" collapsed="false">
      <c r="A10" s="0" t="s">
        <v>891</v>
      </c>
      <c r="B10" s="0" t="s">
        <v>892</v>
      </c>
    </row>
    <row r="15" customFormat="false" ht="14.6" hidden="false" customHeight="false" outlineLevel="0" collapsed="false">
      <c r="A15" s="0" t="s">
        <v>893</v>
      </c>
      <c r="B15" s="0" t="s">
        <v>894</v>
      </c>
    </row>
    <row r="16" customFormat="false" ht="14.6" hidden="false" customHeight="false" outlineLevel="0" collapsed="false">
      <c r="A16" s="131" t="s">
        <v>895</v>
      </c>
      <c r="B16" s="0" t="s">
        <v>896</v>
      </c>
    </row>
    <row r="17" customFormat="false" ht="14.6" hidden="false" customHeight="false" outlineLevel="0" collapsed="false">
      <c r="A17" s="131"/>
      <c r="B17" s="0" t="s">
        <v>897</v>
      </c>
    </row>
    <row r="18" customFormat="false" ht="14.6" hidden="false" customHeight="false" outlineLevel="0" collapsed="false">
      <c r="A18" s="131"/>
      <c r="B18" s="0" t="s">
        <v>898</v>
      </c>
    </row>
    <row r="19" customFormat="false" ht="14.6" hidden="false" customHeight="false" outlineLevel="0" collapsed="false">
      <c r="A19" s="131"/>
      <c r="B19" s="0" t="s">
        <v>899</v>
      </c>
    </row>
  </sheetData>
  <mergeCells count="1">
    <mergeCell ref="A16:A19"/>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F4B183"/>
    <pageSetUpPr fitToPage="false"/>
  </sheetPr>
  <dimension ref="A1:C3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3" activeCellId="0" sqref="C33"/>
    </sheetView>
  </sheetViews>
  <sheetFormatPr defaultRowHeight="14.6" zeroHeight="false" outlineLevelRow="0" outlineLevelCol="0"/>
  <cols>
    <col collapsed="false" customWidth="true" hidden="false" outlineLevel="0" max="1" min="1" style="0" width="44.77"/>
    <col collapsed="false" customWidth="true" hidden="false" outlineLevel="0" max="2" min="2" style="0" width="65.53"/>
    <col collapsed="false" customWidth="true" hidden="false" outlineLevel="0" max="3" min="3" style="0" width="92.84"/>
    <col collapsed="false" customWidth="true" hidden="false" outlineLevel="0" max="4" min="4" style="0" width="56.15"/>
    <col collapsed="false" customWidth="true" hidden="false" outlineLevel="0" max="1025" min="5" style="0" width="8.75"/>
  </cols>
  <sheetData>
    <row r="1" customFormat="false" ht="14.6" hidden="false" customHeight="false" outlineLevel="0" collapsed="false">
      <c r="A1" s="102" t="s">
        <v>900</v>
      </c>
      <c r="B1" s="0" t="s">
        <v>901</v>
      </c>
    </row>
    <row r="2" customFormat="false" ht="14.6" hidden="false" customHeight="false" outlineLevel="0" collapsed="false">
      <c r="A2" s="132" t="s">
        <v>902</v>
      </c>
    </row>
    <row r="3" customFormat="false" ht="14.6" hidden="false" customHeight="false" outlineLevel="0" collapsed="false">
      <c r="A3" s="132" t="s">
        <v>903</v>
      </c>
      <c r="B3" s="0" t="s">
        <v>904</v>
      </c>
      <c r="C3" s="0" t="s">
        <v>905</v>
      </c>
    </row>
    <row r="4" customFormat="false" ht="14.6" hidden="false" customHeight="false" outlineLevel="0" collapsed="false">
      <c r="B4" s="0" t="s">
        <v>906</v>
      </c>
    </row>
    <row r="5" customFormat="false" ht="14.6" hidden="false" customHeight="false" outlineLevel="0" collapsed="false">
      <c r="A5" s="102" t="s">
        <v>907</v>
      </c>
    </row>
    <row r="6" customFormat="false" ht="14.6" hidden="false" customHeight="false" outlineLevel="0" collapsed="false">
      <c r="A6" s="132" t="s">
        <v>908</v>
      </c>
    </row>
    <row r="7" customFormat="false" ht="14.6" hidden="false" customHeight="false" outlineLevel="0" collapsed="false">
      <c r="A7" s="132" t="s">
        <v>909</v>
      </c>
    </row>
    <row r="8" customFormat="false" ht="14.6" hidden="false" customHeight="false" outlineLevel="0" collapsed="false">
      <c r="A8" s="132" t="s">
        <v>910</v>
      </c>
    </row>
    <row r="9" customFormat="false" ht="14.6" hidden="false" customHeight="false" outlineLevel="0" collapsed="false">
      <c r="A9" s="132" t="s">
        <v>911</v>
      </c>
    </row>
    <row r="11" customFormat="false" ht="14.6" hidden="false" customHeight="false" outlineLevel="0" collapsed="false">
      <c r="A11" s="102" t="s">
        <v>912</v>
      </c>
      <c r="B11" s="132" t="s">
        <v>913</v>
      </c>
    </row>
    <row r="12" customFormat="false" ht="14.6" hidden="false" customHeight="false" outlineLevel="0" collapsed="false">
      <c r="A12" s="132" t="s">
        <v>914</v>
      </c>
    </row>
    <row r="13" customFormat="false" ht="14.6" hidden="false" customHeight="false" outlineLevel="0" collapsed="false">
      <c r="A13" s="132" t="s">
        <v>915</v>
      </c>
    </row>
    <row r="14" customFormat="false" ht="14.6" hidden="false" customHeight="false" outlineLevel="0" collapsed="false">
      <c r="A14" s="132" t="s">
        <v>916</v>
      </c>
    </row>
    <row r="15" customFormat="false" ht="14.6" hidden="false" customHeight="false" outlineLevel="0" collapsed="false">
      <c r="A15" s="132" t="s">
        <v>917</v>
      </c>
    </row>
    <row r="16" customFormat="false" ht="14.6" hidden="false" customHeight="false" outlineLevel="0" collapsed="false">
      <c r="A16" s="132" t="s">
        <v>918</v>
      </c>
    </row>
    <row r="17" customFormat="false" ht="14.6" hidden="false" customHeight="false" outlineLevel="0" collapsed="false">
      <c r="A17" s="132" t="s">
        <v>919</v>
      </c>
    </row>
    <row r="19" customFormat="false" ht="14.6" hidden="false" customHeight="false" outlineLevel="0" collapsed="false">
      <c r="A19" s="102" t="s">
        <v>920</v>
      </c>
      <c r="B19" s="102" t="s">
        <v>921</v>
      </c>
      <c r="C19" s="102" t="s">
        <v>922</v>
      </c>
    </row>
    <row r="20" customFormat="false" ht="58.3" hidden="false" customHeight="false" outlineLevel="0" collapsed="false">
      <c r="A20" s="133" t="s">
        <v>923</v>
      </c>
      <c r="B20" s="134" t="s">
        <v>924</v>
      </c>
      <c r="C20" s="130" t="s">
        <v>925</v>
      </c>
    </row>
    <row r="21" customFormat="false" ht="14.6" hidden="false" customHeight="false" outlineLevel="0" collapsed="false">
      <c r="A21" s="133" t="s">
        <v>926</v>
      </c>
      <c r="B21" s="134" t="s">
        <v>927</v>
      </c>
      <c r="C21" s="0" t="s">
        <v>928</v>
      </c>
    </row>
    <row r="22" customFormat="false" ht="58.3" hidden="false" customHeight="false" outlineLevel="0" collapsed="false">
      <c r="A22" s="133" t="s">
        <v>929</v>
      </c>
      <c r="B22" s="134" t="s">
        <v>930</v>
      </c>
      <c r="C22" s="8" t="s">
        <v>931</v>
      </c>
    </row>
    <row r="23" customFormat="false" ht="14.6" hidden="false" customHeight="false" outlineLevel="0" collapsed="false">
      <c r="A23" s="133" t="s">
        <v>932</v>
      </c>
      <c r="B23" s="134" t="s">
        <v>933</v>
      </c>
      <c r="C23" s="0" t="s">
        <v>934</v>
      </c>
    </row>
    <row r="24" customFormat="false" ht="14.6" hidden="false" customHeight="false" outlineLevel="0" collapsed="false">
      <c r="A24" s="133" t="s">
        <v>935</v>
      </c>
      <c r="B24" s="134" t="s">
        <v>936</v>
      </c>
      <c r="C24" s="0" t="s">
        <v>937</v>
      </c>
    </row>
    <row r="25" customFormat="false" ht="14.6" hidden="false" customHeight="false" outlineLevel="0" collapsed="false">
      <c r="A25" s="133" t="s">
        <v>938</v>
      </c>
      <c r="B25" s="134" t="s">
        <v>939</v>
      </c>
      <c r="C25" s="0" t="s">
        <v>940</v>
      </c>
    </row>
    <row r="26" customFormat="false" ht="14.6" hidden="false" customHeight="false" outlineLevel="0" collapsed="false">
      <c r="A26" s="135"/>
    </row>
    <row r="27" customFormat="false" ht="14.6" hidden="false" customHeight="false" outlineLevel="0" collapsed="false">
      <c r="A27" s="102" t="s">
        <v>941</v>
      </c>
    </row>
    <row r="28" customFormat="false" ht="14.6" hidden="false" customHeight="false" outlineLevel="0" collapsed="false">
      <c r="A28" s="136" t="s">
        <v>942</v>
      </c>
      <c r="B28" s="134" t="s">
        <v>943</v>
      </c>
    </row>
    <row r="29" customFormat="false" ht="14.6" hidden="false" customHeight="false" outlineLevel="0" collapsed="false">
      <c r="A29" s="136" t="s">
        <v>944</v>
      </c>
      <c r="B29" s="134" t="s">
        <v>945</v>
      </c>
      <c r="C29" s="0" t="s">
        <v>946</v>
      </c>
    </row>
    <row r="30" customFormat="false" ht="14.6" hidden="false" customHeight="false" outlineLevel="0" collapsed="false">
      <c r="A30" s="136" t="s">
        <v>947</v>
      </c>
      <c r="B30" s="134" t="s">
        <v>948</v>
      </c>
      <c r="C30" s="0" t="s">
        <v>949</v>
      </c>
    </row>
    <row r="31" customFormat="false" ht="14.6" hidden="false" customHeight="false" outlineLevel="0" collapsed="false">
      <c r="A31" s="133" t="s">
        <v>950</v>
      </c>
    </row>
    <row r="32" customFormat="false" ht="14.6" hidden="false" customHeight="false" outlineLevel="0" collapsed="false">
      <c r="A32" s="133" t="s">
        <v>951</v>
      </c>
    </row>
    <row r="33" customFormat="false" ht="14.6" hidden="false" customHeight="false" outlineLevel="0" collapsed="false">
      <c r="A33" s="133" t="s">
        <v>952</v>
      </c>
    </row>
    <row r="34" customFormat="false" ht="14.6" hidden="false" customHeight="false" outlineLevel="0" collapsed="false">
      <c r="A34" s="133" t="s">
        <v>953</v>
      </c>
      <c r="B34" s="134" t="s">
        <v>954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tabColor rgb="FFFFC000"/>
    <pageSetUpPr fitToPage="false"/>
  </sheetPr>
  <dimension ref="A4:D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2" activeCellId="0" sqref="A12"/>
    </sheetView>
  </sheetViews>
  <sheetFormatPr defaultRowHeight="14.6" zeroHeight="false" outlineLevelRow="0" outlineLevelCol="0"/>
  <cols>
    <col collapsed="false" customWidth="true" hidden="false" outlineLevel="0" max="1" min="1" style="0" width="50.15"/>
    <col collapsed="false" customWidth="true" hidden="false" outlineLevel="0" max="2" min="2" style="0" width="60.92"/>
    <col collapsed="false" customWidth="true" hidden="false" outlineLevel="0" max="3" min="3" style="0" width="123.77"/>
    <col collapsed="false" customWidth="true" hidden="false" outlineLevel="0" max="4" min="4" style="0" width="65.62"/>
    <col collapsed="false" customWidth="true" hidden="false" outlineLevel="0" max="1025" min="5" style="0" width="8.75"/>
  </cols>
  <sheetData>
    <row r="4" customFormat="false" ht="14.6" hidden="false" customHeight="false" outlineLevel="0" collapsed="false">
      <c r="A4" s="102" t="s">
        <v>926</v>
      </c>
      <c r="B4" s="102" t="s">
        <v>955</v>
      </c>
      <c r="C4" s="102" t="s">
        <v>956</v>
      </c>
      <c r="D4" s="102" t="s">
        <v>957</v>
      </c>
    </row>
    <row r="5" customFormat="false" ht="14.6" hidden="false" customHeight="false" outlineLevel="0" collapsed="false">
      <c r="A5" s="0" t="s">
        <v>958</v>
      </c>
      <c r="B5" s="0" t="s">
        <v>959</v>
      </c>
      <c r="C5" s="0" t="s">
        <v>960</v>
      </c>
      <c r="D5" s="0" t="s">
        <v>961</v>
      </c>
    </row>
    <row r="6" customFormat="false" ht="14.6" hidden="false" customHeight="false" outlineLevel="0" collapsed="false">
      <c r="B6" s="0" t="s">
        <v>962</v>
      </c>
      <c r="C6" s="0" t="s">
        <v>963</v>
      </c>
      <c r="D6" s="0" t="s">
        <v>964</v>
      </c>
    </row>
    <row r="7" customFormat="false" ht="14.6" hidden="false" customHeight="false" outlineLevel="0" collapsed="false">
      <c r="B7" s="0" t="s">
        <v>965</v>
      </c>
      <c r="C7" s="0" t="s">
        <v>966</v>
      </c>
      <c r="D7" s="0" t="s">
        <v>967</v>
      </c>
    </row>
    <row r="8" customFormat="false" ht="14.6" hidden="false" customHeight="false" outlineLevel="0" collapsed="false">
      <c r="B8" s="0" t="s">
        <v>968</v>
      </c>
      <c r="C8" s="0" t="s">
        <v>969</v>
      </c>
      <c r="D8" s="0" t="s">
        <v>970</v>
      </c>
    </row>
    <row r="9" customFormat="false" ht="14.6" hidden="false" customHeight="false" outlineLevel="0" collapsed="false">
      <c r="B9" s="0" t="s">
        <v>971</v>
      </c>
      <c r="C9" s="0" t="s">
        <v>972</v>
      </c>
    </row>
    <row r="12" customFormat="false" ht="14.6" hidden="false" customHeight="false" outlineLevel="0" collapsed="false">
      <c r="A12" s="90" t="s">
        <v>973</v>
      </c>
      <c r="B12" s="0" t="s">
        <v>974</v>
      </c>
    </row>
    <row r="13" customFormat="false" ht="14.6" hidden="false" customHeight="false" outlineLevel="0" collapsed="false">
      <c r="A13" s="90" t="s">
        <v>975</v>
      </c>
      <c r="B13" s="0" t="s">
        <v>976</v>
      </c>
    </row>
    <row r="14" customFormat="false" ht="14.6" hidden="false" customHeight="false" outlineLevel="0" collapsed="false">
      <c r="A14" s="90" t="s">
        <v>977</v>
      </c>
      <c r="B14" s="0" t="s">
        <v>978</v>
      </c>
    </row>
    <row r="15" customFormat="false" ht="14.6" hidden="false" customHeight="false" outlineLevel="0" collapsed="false">
      <c r="A15" s="90" t="s">
        <v>979</v>
      </c>
    </row>
    <row r="17" customFormat="false" ht="14.6" hidden="false" customHeight="false" outlineLevel="0" collapsed="false">
      <c r="A17" s="90" t="s">
        <v>980</v>
      </c>
    </row>
    <row r="18" customFormat="false" ht="14.6" hidden="false" customHeight="false" outlineLevel="0" collapsed="false">
      <c r="A18" s="102" t="s">
        <v>981</v>
      </c>
    </row>
    <row r="19" customFormat="false" ht="14.6" hidden="false" customHeight="false" outlineLevel="0" collapsed="false">
      <c r="B19" s="132" t="s">
        <v>982</v>
      </c>
      <c r="C19" s="0" t="s">
        <v>983</v>
      </c>
      <c r="D19" s="0" t="s">
        <v>984</v>
      </c>
    </row>
    <row r="20" customFormat="false" ht="14.6" hidden="false" customHeight="false" outlineLevel="0" collapsed="false">
      <c r="C20" s="0" t="s">
        <v>985</v>
      </c>
      <c r="D20" s="0" t="s">
        <v>986</v>
      </c>
    </row>
    <row r="21" customFormat="false" ht="14.6" hidden="false" customHeight="false" outlineLevel="0" collapsed="false">
      <c r="B21" s="132" t="s">
        <v>987</v>
      </c>
      <c r="C21" s="0" t="s">
        <v>988</v>
      </c>
      <c r="D21" s="0" t="s">
        <v>989</v>
      </c>
    </row>
    <row r="22" customFormat="false" ht="14.6" hidden="false" customHeight="false" outlineLevel="0" collapsed="false">
      <c r="C22" s="0" t="s">
        <v>990</v>
      </c>
    </row>
    <row r="23" customFormat="false" ht="14.6" hidden="false" customHeight="false" outlineLevel="0" collapsed="false">
      <c r="C23" s="0" t="s">
        <v>991</v>
      </c>
    </row>
    <row r="24" customFormat="false" ht="14.6" hidden="false" customHeight="false" outlineLevel="0" collapsed="false">
      <c r="B24" s="132" t="s">
        <v>992</v>
      </c>
      <c r="C24" s="0" t="s">
        <v>993</v>
      </c>
      <c r="D24" s="0" t="s">
        <v>994</v>
      </c>
    </row>
    <row r="25" customFormat="false" ht="14.6" hidden="false" customHeight="false" outlineLevel="0" collapsed="false">
      <c r="C25" s="0" t="s">
        <v>995</v>
      </c>
    </row>
    <row r="26" customFormat="false" ht="14.6" hidden="false" customHeight="false" outlineLevel="0" collapsed="false">
      <c r="C26" s="0" t="s">
        <v>996</v>
      </c>
    </row>
    <row r="27" customFormat="false" ht="14.6" hidden="false" customHeight="false" outlineLevel="0" collapsed="false">
      <c r="C27" s="0" t="s">
        <v>997</v>
      </c>
    </row>
    <row r="28" customFormat="false" ht="14.6" hidden="false" customHeight="false" outlineLevel="0" collapsed="false">
      <c r="A28" s="102" t="s">
        <v>998</v>
      </c>
      <c r="B28" s="132" t="s">
        <v>999</v>
      </c>
      <c r="C28" s="0" t="s">
        <v>1000</v>
      </c>
    </row>
    <row r="29" customFormat="false" ht="14.6" hidden="false" customHeight="false" outlineLevel="0" collapsed="false">
      <c r="C29" s="0" t="s">
        <v>1001</v>
      </c>
    </row>
    <row r="30" customFormat="false" ht="14.6" hidden="false" customHeight="false" outlineLevel="0" collapsed="false">
      <c r="C30" s="0" t="s">
        <v>1002</v>
      </c>
    </row>
    <row r="31" customFormat="false" ht="14.6" hidden="false" customHeight="false" outlineLevel="0" collapsed="false">
      <c r="B31" s="132" t="s">
        <v>1003</v>
      </c>
      <c r="C31" s="0" t="s">
        <v>1004</v>
      </c>
    </row>
    <row r="32" customFormat="false" ht="14.6" hidden="false" customHeight="false" outlineLevel="0" collapsed="false">
      <c r="B32" s="132" t="s">
        <v>1005</v>
      </c>
      <c r="C32" s="0" t="s">
        <v>1006</v>
      </c>
    </row>
    <row r="33" customFormat="false" ht="14.6" hidden="false" customHeight="false" outlineLevel="0" collapsed="false">
      <c r="C33" s="0" t="s">
        <v>1007</v>
      </c>
    </row>
    <row r="34" customFormat="false" ht="14.6" hidden="false" customHeight="false" outlineLevel="0" collapsed="false">
      <c r="C34" s="0" t="s">
        <v>1008</v>
      </c>
    </row>
    <row r="35" customFormat="false" ht="14.6" hidden="false" customHeight="false" outlineLevel="0" collapsed="false">
      <c r="C35" s="0" t="s">
        <v>1009</v>
      </c>
    </row>
    <row r="36" customFormat="false" ht="14.6" hidden="false" customHeight="false" outlineLevel="0" collapsed="false">
      <c r="B36" s="132" t="s">
        <v>1010</v>
      </c>
      <c r="C36" s="0" t="s">
        <v>1011</v>
      </c>
    </row>
    <row r="37" customFormat="false" ht="14.6" hidden="false" customHeight="false" outlineLevel="0" collapsed="false">
      <c r="B37" s="132" t="s">
        <v>1012</v>
      </c>
      <c r="C37" s="0" t="s">
        <v>1013</v>
      </c>
    </row>
    <row r="38" customFormat="false" ht="14.6" hidden="false" customHeight="false" outlineLevel="0" collapsed="false">
      <c r="C38" s="0" t="s">
        <v>1014</v>
      </c>
    </row>
    <row r="39" customFormat="false" ht="14.6" hidden="false" customHeight="false" outlineLevel="0" collapsed="false">
      <c r="B39" s="132" t="s">
        <v>1015</v>
      </c>
      <c r="C39" s="0" t="s">
        <v>1016</v>
      </c>
    </row>
    <row r="40" customFormat="false" ht="14.6" hidden="false" customHeight="false" outlineLevel="0" collapsed="false">
      <c r="C40" s="0" t="s">
        <v>1017</v>
      </c>
    </row>
    <row r="41" customFormat="false" ht="14.6" hidden="false" customHeight="false" outlineLevel="0" collapsed="false">
      <c r="C41" s="0" t="s">
        <v>1018</v>
      </c>
    </row>
    <row r="42" customFormat="false" ht="14.6" hidden="false" customHeight="false" outlineLevel="0" collapsed="false">
      <c r="A42" s="102" t="s">
        <v>965</v>
      </c>
      <c r="B42" s="132" t="s">
        <v>1019</v>
      </c>
      <c r="C42" s="0" t="s">
        <v>1020</v>
      </c>
    </row>
    <row r="43" customFormat="false" ht="14.6" hidden="false" customHeight="false" outlineLevel="0" collapsed="false">
      <c r="C43" s="0" t="s">
        <v>1021</v>
      </c>
    </row>
    <row r="44" customFormat="false" ht="14.6" hidden="false" customHeight="false" outlineLevel="0" collapsed="false">
      <c r="B44" s="132" t="s">
        <v>1022</v>
      </c>
      <c r="C44" s="0" t="s">
        <v>1023</v>
      </c>
      <c r="D44" s="0" t="s">
        <v>1024</v>
      </c>
    </row>
    <row r="45" customFormat="false" ht="14.6" hidden="false" customHeight="false" outlineLevel="0" collapsed="false">
      <c r="B45" s="132" t="s">
        <v>1025</v>
      </c>
      <c r="C45" s="0" t="s">
        <v>1026</v>
      </c>
      <c r="D45" s="0" t="s">
        <v>1027</v>
      </c>
    </row>
    <row r="46" customFormat="false" ht="14.6" hidden="false" customHeight="false" outlineLevel="0" collapsed="false">
      <c r="B46" s="132" t="s">
        <v>1028</v>
      </c>
      <c r="C46" s="0" t="s">
        <v>1029</v>
      </c>
    </row>
    <row r="48" customFormat="false" ht="14.6" hidden="false" customHeight="false" outlineLevel="0" collapsed="false">
      <c r="A48" s="102" t="s">
        <v>968</v>
      </c>
      <c r="B48" s="132" t="s">
        <v>1030</v>
      </c>
      <c r="C48" s="8" t="s">
        <v>1031</v>
      </c>
    </row>
    <row r="49" customFormat="false" ht="14.6" hidden="false" customHeight="false" outlineLevel="0" collapsed="false">
      <c r="C49" s="0" t="s">
        <v>1032</v>
      </c>
    </row>
    <row r="50" customFormat="false" ht="14.6" hidden="false" customHeight="false" outlineLevel="0" collapsed="false">
      <c r="B50" s="132" t="s">
        <v>1033</v>
      </c>
      <c r="C50" s="0" t="s">
        <v>1034</v>
      </c>
    </row>
    <row r="51" customFormat="false" ht="14.6" hidden="false" customHeight="false" outlineLevel="0" collapsed="false">
      <c r="B51" s="132" t="s">
        <v>1035</v>
      </c>
      <c r="C51" s="0" t="s">
        <v>1036</v>
      </c>
    </row>
    <row r="52" customFormat="false" ht="14.6" hidden="false" customHeight="false" outlineLevel="0" collapsed="false">
      <c r="B52" s="132" t="s">
        <v>1037</v>
      </c>
      <c r="C52" s="0" t="s">
        <v>1038</v>
      </c>
    </row>
    <row r="53" customFormat="false" ht="14.6" hidden="false" customHeight="false" outlineLevel="0" collapsed="false">
      <c r="A53" s="102" t="s">
        <v>971</v>
      </c>
      <c r="B53" s="132" t="s">
        <v>1039</v>
      </c>
      <c r="C53" s="0" t="s">
        <v>1040</v>
      </c>
    </row>
    <row r="54" customFormat="false" ht="14.6" hidden="false" customHeight="false" outlineLevel="0" collapsed="false">
      <c r="B54" s="132" t="s">
        <v>1041</v>
      </c>
      <c r="C54" s="0" t="s">
        <v>1042</v>
      </c>
    </row>
    <row r="55" customFormat="false" ht="14.6" hidden="false" customHeight="false" outlineLevel="0" collapsed="false">
      <c r="C55" s="0" t="s">
        <v>1043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tabColor rgb="FFF8CBAD"/>
    <pageSetUpPr fitToPage="false"/>
  </sheetPr>
  <dimension ref="A1:E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4.6" zeroHeight="false" outlineLevelRow="0" outlineLevelCol="0"/>
  <cols>
    <col collapsed="false" customWidth="true" hidden="false" outlineLevel="0" max="1" min="1" style="137" width="3.31"/>
    <col collapsed="false" customWidth="true" hidden="false" outlineLevel="0" max="2" min="2" style="0" width="64.47"/>
    <col collapsed="false" customWidth="true" hidden="false" outlineLevel="0" max="3" min="3" style="0" width="9.15"/>
    <col collapsed="false" customWidth="true" hidden="false" outlineLevel="0" max="4" min="4" style="0" width="11.53"/>
    <col collapsed="false" customWidth="true" hidden="false" outlineLevel="0" max="5" min="5" style="0" width="10.76"/>
    <col collapsed="false" customWidth="true" hidden="false" outlineLevel="0" max="1025" min="6" style="0" width="15.46"/>
  </cols>
  <sheetData>
    <row r="1" customFormat="false" ht="14.6" hidden="false" customHeight="false" outlineLevel="0" collapsed="false">
      <c r="A1" s="138" t="s">
        <v>1044</v>
      </c>
      <c r="B1" s="139" t="s">
        <v>1045</v>
      </c>
      <c r="C1" s="102" t="s">
        <v>1046</v>
      </c>
      <c r="D1" s="102" t="s">
        <v>1047</v>
      </c>
      <c r="E1" s="102" t="s">
        <v>1048</v>
      </c>
    </row>
    <row r="2" customFormat="false" ht="14.6" hidden="false" customHeight="false" outlineLevel="0" collapsed="false">
      <c r="A2" s="138"/>
      <c r="B2" s="140" t="s">
        <v>1049</v>
      </c>
      <c r="C2" s="141"/>
      <c r="D2" s="141" t="s">
        <v>1050</v>
      </c>
      <c r="E2" s="141" t="s">
        <v>1050</v>
      </c>
    </row>
    <row r="3" customFormat="false" ht="29.15" hidden="false" customHeight="false" outlineLevel="0" collapsed="false">
      <c r="A3" s="138"/>
      <c r="B3" s="142" t="s">
        <v>1051</v>
      </c>
      <c r="C3" s="141" t="s">
        <v>1050</v>
      </c>
      <c r="D3" s="141"/>
      <c r="E3" s="141"/>
    </row>
    <row r="4" customFormat="false" ht="14.6" hidden="false" customHeight="false" outlineLevel="0" collapsed="false">
      <c r="A4" s="138"/>
      <c r="B4" s="140" t="s">
        <v>1052</v>
      </c>
      <c r="C4" s="141" t="s">
        <v>1050</v>
      </c>
      <c r="D4" s="141"/>
      <c r="E4" s="141"/>
    </row>
    <row r="5" customFormat="false" ht="14.6" hidden="false" customHeight="false" outlineLevel="0" collapsed="false">
      <c r="A5" s="138"/>
      <c r="B5" s="140" t="s">
        <v>1053</v>
      </c>
      <c r="C5" s="141"/>
      <c r="D5" s="141" t="s">
        <v>1050</v>
      </c>
      <c r="E5" s="141"/>
    </row>
    <row r="6" customFormat="false" ht="14.6" hidden="false" customHeight="false" outlineLevel="0" collapsed="false">
      <c r="A6" s="138"/>
      <c r="B6" s="142" t="s">
        <v>1054</v>
      </c>
      <c r="C6" s="141" t="s">
        <v>1050</v>
      </c>
      <c r="D6" s="141"/>
      <c r="E6" s="141"/>
    </row>
    <row r="7" customFormat="false" ht="14.6" hidden="false" customHeight="false" outlineLevel="0" collapsed="false">
      <c r="A7" s="138"/>
      <c r="B7" s="140" t="s">
        <v>1055</v>
      </c>
      <c r="C7" s="141"/>
      <c r="D7" s="141" t="s">
        <v>1050</v>
      </c>
      <c r="E7" s="141" t="s">
        <v>1050</v>
      </c>
    </row>
    <row r="8" customFormat="false" ht="14.6" hidden="false" customHeight="false" outlineLevel="0" collapsed="false">
      <c r="A8" s="138"/>
      <c r="B8" s="140" t="s">
        <v>1056</v>
      </c>
      <c r="C8" s="141"/>
      <c r="D8" s="141" t="s">
        <v>1050</v>
      </c>
      <c r="E8" s="141" t="s">
        <v>1050</v>
      </c>
    </row>
    <row r="9" customFormat="false" ht="29.15" hidden="false" customHeight="false" outlineLevel="0" collapsed="false">
      <c r="A9" s="138"/>
      <c r="B9" s="142" t="s">
        <v>1057</v>
      </c>
      <c r="C9" s="141" t="s">
        <v>1050</v>
      </c>
      <c r="D9" s="141" t="s">
        <v>1050</v>
      </c>
      <c r="E9" s="141" t="s">
        <v>1050</v>
      </c>
    </row>
    <row r="10" customFormat="false" ht="14.6" hidden="false" customHeight="false" outlineLevel="0" collapsed="false">
      <c r="A10" s="138"/>
      <c r="B10" s="140" t="s">
        <v>1058</v>
      </c>
      <c r="C10" s="141"/>
      <c r="D10" s="141" t="s">
        <v>1050</v>
      </c>
      <c r="E10" s="141" t="s">
        <v>1050</v>
      </c>
    </row>
    <row r="11" customFormat="false" ht="29.15" hidden="false" customHeight="false" outlineLevel="0" collapsed="false">
      <c r="A11" s="138"/>
      <c r="B11" s="142" t="s">
        <v>1059</v>
      </c>
      <c r="C11" s="141"/>
      <c r="D11" s="141" t="s">
        <v>1050</v>
      </c>
      <c r="E11" s="141" t="s">
        <v>1050</v>
      </c>
    </row>
    <row r="12" customFormat="false" ht="29.15" hidden="false" customHeight="false" outlineLevel="0" collapsed="false">
      <c r="A12" s="138"/>
      <c r="B12" s="142" t="s">
        <v>1060</v>
      </c>
      <c r="C12" s="141" t="s">
        <v>1050</v>
      </c>
      <c r="D12" s="141"/>
      <c r="E12" s="141"/>
    </row>
    <row r="13" customFormat="false" ht="14.6" hidden="false" customHeight="false" outlineLevel="0" collapsed="false">
      <c r="A13" s="138"/>
      <c r="B13" s="140" t="s">
        <v>1061</v>
      </c>
      <c r="C13" s="141" t="s">
        <v>1050</v>
      </c>
      <c r="D13" s="141"/>
      <c r="E13" s="141"/>
    </row>
    <row r="14" customFormat="false" ht="14.6" hidden="false" customHeight="false" outlineLevel="0" collapsed="false">
      <c r="A14" s="138"/>
      <c r="B14" s="140" t="s">
        <v>1062</v>
      </c>
      <c r="C14" s="141" t="s">
        <v>1050</v>
      </c>
      <c r="D14" s="141"/>
      <c r="E14" s="141"/>
    </row>
    <row r="15" customFormat="false" ht="14.6" hidden="false" customHeight="false" outlineLevel="0" collapsed="false">
      <c r="A15" s="138"/>
      <c r="B15" s="140" t="s">
        <v>1063</v>
      </c>
      <c r="C15" s="141" t="s">
        <v>1050</v>
      </c>
      <c r="D15" s="141"/>
      <c r="E15" s="141" t="s">
        <v>1050</v>
      </c>
    </row>
    <row r="16" customFormat="false" ht="14.6" hidden="false" customHeight="false" outlineLevel="0" collapsed="false">
      <c r="A16" s="138"/>
      <c r="B16" s="140" t="s">
        <v>1064</v>
      </c>
      <c r="C16" s="141" t="s">
        <v>1050</v>
      </c>
      <c r="D16" s="141"/>
      <c r="E16" s="141"/>
    </row>
    <row r="17" customFormat="false" ht="14.6" hidden="false" customHeight="false" outlineLevel="0" collapsed="false">
      <c r="A17" s="138"/>
      <c r="B17" s="140" t="s">
        <v>1065</v>
      </c>
      <c r="C17" s="141" t="s">
        <v>1050</v>
      </c>
      <c r="D17" s="141"/>
      <c r="E17" s="141"/>
    </row>
    <row r="18" customFormat="false" ht="29.15" hidden="false" customHeight="false" outlineLevel="0" collapsed="false">
      <c r="A18" s="138"/>
      <c r="B18" s="142" t="s">
        <v>1066</v>
      </c>
      <c r="C18" s="141" t="s">
        <v>1050</v>
      </c>
      <c r="D18" s="141"/>
      <c r="E18" s="141"/>
    </row>
    <row r="19" customFormat="false" ht="29.15" hidden="false" customHeight="false" outlineLevel="0" collapsed="false">
      <c r="A19" s="143" t="s">
        <v>1067</v>
      </c>
      <c r="B19" s="144" t="s">
        <v>1057</v>
      </c>
      <c r="C19" s="145"/>
      <c r="D19" s="145" t="s">
        <v>1050</v>
      </c>
      <c r="E19" s="145" t="s">
        <v>1050</v>
      </c>
    </row>
    <row r="20" customFormat="false" ht="29.15" hidden="false" customHeight="false" outlineLevel="0" collapsed="false">
      <c r="A20" s="143"/>
      <c r="B20" s="146" t="s">
        <v>1068</v>
      </c>
      <c r="C20" s="145"/>
      <c r="D20" s="145" t="s">
        <v>1050</v>
      </c>
      <c r="E20" s="145"/>
    </row>
    <row r="21" customFormat="false" ht="14.6" hidden="false" customHeight="false" outlineLevel="0" collapsed="false">
      <c r="A21" s="143"/>
      <c r="B21" s="147" t="s">
        <v>1069</v>
      </c>
      <c r="C21" s="145"/>
      <c r="D21" s="145" t="s">
        <v>1050</v>
      </c>
      <c r="E21" s="145"/>
    </row>
    <row r="22" customFormat="false" ht="29.15" hidden="false" customHeight="false" outlineLevel="0" collapsed="false">
      <c r="A22" s="143"/>
      <c r="B22" s="146" t="s">
        <v>1070</v>
      </c>
      <c r="C22" s="145"/>
      <c r="D22" s="145" t="s">
        <v>1050</v>
      </c>
      <c r="E22" s="145"/>
    </row>
    <row r="23" customFormat="false" ht="14.6" hidden="false" customHeight="false" outlineLevel="0" collapsed="false">
      <c r="A23" s="143"/>
      <c r="B23" s="147" t="s">
        <v>1071</v>
      </c>
      <c r="C23" s="145" t="s">
        <v>1050</v>
      </c>
      <c r="D23" s="145"/>
      <c r="E23" s="145"/>
    </row>
    <row r="24" customFormat="false" ht="29.15" hidden="false" customHeight="false" outlineLevel="0" collapsed="false">
      <c r="A24" s="143"/>
      <c r="B24" s="146" t="s">
        <v>1072</v>
      </c>
      <c r="C24" s="145"/>
      <c r="D24" s="145" t="s">
        <v>1050</v>
      </c>
      <c r="E24" s="145" t="s">
        <v>1050</v>
      </c>
    </row>
    <row r="25" customFormat="false" ht="14.6" hidden="false" customHeight="false" outlineLevel="0" collapsed="false">
      <c r="A25" s="143"/>
      <c r="B25" s="147" t="s">
        <v>1055</v>
      </c>
      <c r="C25" s="145"/>
      <c r="D25" s="145" t="s">
        <v>1050</v>
      </c>
      <c r="E25" s="145" t="s">
        <v>1050</v>
      </c>
    </row>
    <row r="26" customFormat="false" ht="14.6" hidden="false" customHeight="false" outlineLevel="0" collapsed="false">
      <c r="A26" s="143"/>
      <c r="B26" s="147" t="s">
        <v>1073</v>
      </c>
      <c r="C26" s="145" t="s">
        <v>1050</v>
      </c>
      <c r="D26" s="145" t="s">
        <v>1050</v>
      </c>
      <c r="E26" s="145" t="s">
        <v>1050</v>
      </c>
    </row>
    <row r="27" customFormat="false" ht="14.6" hidden="false" customHeight="false" outlineLevel="0" collapsed="false">
      <c r="A27" s="143"/>
      <c r="B27" s="147" t="s">
        <v>1074</v>
      </c>
      <c r="C27" s="145"/>
      <c r="D27" s="145" t="s">
        <v>1050</v>
      </c>
      <c r="E27" s="145" t="s">
        <v>1050</v>
      </c>
    </row>
    <row r="28" customFormat="false" ht="14.6" hidden="false" customHeight="false" outlineLevel="0" collapsed="false">
      <c r="A28" s="143"/>
      <c r="B28" s="147" t="s">
        <v>1075</v>
      </c>
      <c r="C28" s="145"/>
      <c r="D28" s="145" t="s">
        <v>1050</v>
      </c>
      <c r="E28" s="145" t="s">
        <v>1050</v>
      </c>
    </row>
    <row r="29" customFormat="false" ht="29.15" hidden="false" customHeight="false" outlineLevel="0" collapsed="false">
      <c r="A29" s="143"/>
      <c r="B29" s="146" t="s">
        <v>1076</v>
      </c>
      <c r="C29" s="145" t="s">
        <v>1050</v>
      </c>
      <c r="D29" s="145"/>
      <c r="E29" s="145"/>
    </row>
  </sheetData>
  <mergeCells count="2">
    <mergeCell ref="A1:A18"/>
    <mergeCell ref="A19:A29"/>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F8CBAD"/>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6" zeroHeight="false" outlineLevelRow="0" outlineLevelCol="0"/>
  <cols>
    <col collapsed="false" customWidth="true" hidden="false" outlineLevel="0" max="1" min="1" style="0" width="14.53"/>
    <col collapsed="false" customWidth="true" hidden="false" outlineLevel="0" max="1025" min="2" style="0" width="8.75"/>
  </cols>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92D050"/>
    <pageSetUpPr fitToPage="false"/>
  </sheetPr>
  <dimension ref="A1:D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4" activeCellId="0" sqref="B24"/>
    </sheetView>
  </sheetViews>
  <sheetFormatPr defaultRowHeight="14.6" zeroHeight="false" outlineLevelRow="0" outlineLevelCol="0"/>
  <cols>
    <col collapsed="false" customWidth="true" hidden="false" outlineLevel="0" max="1" min="1" style="148" width="33.16"/>
    <col collapsed="false" customWidth="true" hidden="false" outlineLevel="0" max="2" min="2" style="148" width="131.38"/>
    <col collapsed="false" customWidth="true" hidden="false" outlineLevel="0" max="3" min="3" style="0" width="18.53"/>
    <col collapsed="false" customWidth="true" hidden="false" outlineLevel="0" max="4" min="4" style="0" width="38.15"/>
    <col collapsed="false" customWidth="true" hidden="false" outlineLevel="0" max="1025" min="5" style="0" width="8.75"/>
  </cols>
  <sheetData>
    <row r="1" customFormat="false" ht="14.6" hidden="false" customHeight="false" outlineLevel="0" collapsed="false">
      <c r="A1" s="104" t="s">
        <v>1077</v>
      </c>
      <c r="B1" s="149" t="s">
        <v>1078</v>
      </c>
      <c r="C1" s="0" t="s">
        <v>1079</v>
      </c>
    </row>
    <row r="2" customFormat="false" ht="24.9" hidden="false" customHeight="false" outlineLevel="0" collapsed="false">
      <c r="A2" s="104" t="s">
        <v>1080</v>
      </c>
      <c r="B2" s="150" t="s">
        <v>1081</v>
      </c>
    </row>
    <row r="3" customFormat="false" ht="14.6" hidden="false" customHeight="false" outlineLevel="0" collapsed="false">
      <c r="A3" s="104" t="s">
        <v>1082</v>
      </c>
      <c r="B3" s="151" t="s">
        <v>1083</v>
      </c>
    </row>
    <row r="4" customFormat="false" ht="14.6" hidden="false" customHeight="false" outlineLevel="0" collapsed="false">
      <c r="A4" s="104"/>
      <c r="B4" s="151" t="s">
        <v>424</v>
      </c>
      <c r="C4" s="0" t="s">
        <v>1084</v>
      </c>
      <c r="D4" s="0" t="s">
        <v>1085</v>
      </c>
    </row>
    <row r="5" customFormat="false" ht="14.6" hidden="false" customHeight="false" outlineLevel="0" collapsed="false">
      <c r="A5" s="104"/>
      <c r="B5" s="151"/>
      <c r="C5" s="0" t="s">
        <v>1086</v>
      </c>
      <c r="D5" s="0" t="s">
        <v>1087</v>
      </c>
    </row>
    <row r="6" customFormat="false" ht="14.6" hidden="false" customHeight="false" outlineLevel="0" collapsed="false">
      <c r="A6" s="104" t="s">
        <v>1088</v>
      </c>
      <c r="B6" s="151"/>
      <c r="C6" s="0" t="s">
        <v>1089</v>
      </c>
      <c r="D6" s="92" t="s">
        <v>1090</v>
      </c>
    </row>
    <row r="7" customFormat="false" ht="14.6" hidden="false" customHeight="false" outlineLevel="0" collapsed="false">
      <c r="A7" s="104" t="s">
        <v>1091</v>
      </c>
      <c r="B7" s="149"/>
    </row>
    <row r="8" customFormat="false" ht="14.6" hidden="false" customHeight="false" outlineLevel="0" collapsed="false">
      <c r="A8" s="104"/>
      <c r="B8" s="151" t="s">
        <v>1092</v>
      </c>
    </row>
    <row r="9" customFormat="false" ht="14.6" hidden="false" customHeight="false" outlineLevel="0" collapsed="false">
      <c r="A9" s="104"/>
      <c r="B9" s="151" t="s">
        <v>1093</v>
      </c>
    </row>
    <row r="10" customFormat="false" ht="14.6" hidden="false" customHeight="false" outlineLevel="0" collapsed="false">
      <c r="A10" s="104"/>
      <c r="B10" s="151" t="s">
        <v>1094</v>
      </c>
    </row>
    <row r="11" customFormat="false" ht="14.6" hidden="false" customHeight="false" outlineLevel="0" collapsed="false">
      <c r="A11" s="104"/>
      <c r="B11" s="151" t="s">
        <v>1095</v>
      </c>
      <c r="C11" s="5"/>
    </row>
    <row r="12" customFormat="false" ht="14.6" hidden="false" customHeight="false" outlineLevel="0" collapsed="false">
      <c r="A12" s="104" t="s">
        <v>1096</v>
      </c>
      <c r="B12" s="151"/>
      <c r="C12" s="5"/>
    </row>
    <row r="13" customFormat="false" ht="14.6" hidden="false" customHeight="false" outlineLevel="0" collapsed="false">
      <c r="A13" s="104"/>
      <c r="B13" s="151" t="s">
        <v>1097</v>
      </c>
    </row>
    <row r="14" customFormat="false" ht="14.6" hidden="false" customHeight="false" outlineLevel="0" collapsed="false">
      <c r="A14" s="104"/>
      <c r="B14" s="149" t="s">
        <v>1098</v>
      </c>
    </row>
    <row r="15" customFormat="false" ht="14.6" hidden="false" customHeight="false" outlineLevel="0" collapsed="false">
      <c r="A15" s="104"/>
      <c r="B15" s="151" t="s">
        <v>1099</v>
      </c>
    </row>
    <row r="16" customFormat="false" ht="14.6" hidden="false" customHeight="false" outlineLevel="0" collapsed="false">
      <c r="A16" s="104"/>
      <c r="B16" s="151" t="s">
        <v>1100</v>
      </c>
    </row>
    <row r="17" customFormat="false" ht="14.6" hidden="false" customHeight="false" outlineLevel="0" collapsed="false">
      <c r="A17" s="104"/>
      <c r="B17" s="151" t="s">
        <v>1101</v>
      </c>
    </row>
    <row r="18" customFormat="false" ht="14.6" hidden="false" customHeight="false" outlineLevel="0" collapsed="false">
      <c r="A18" s="104" t="s">
        <v>1102</v>
      </c>
      <c r="B18" s="104" t="s">
        <v>1</v>
      </c>
      <c r="C18" s="104" t="s">
        <v>1103</v>
      </c>
      <c r="D18" s="104" t="s">
        <v>1104</v>
      </c>
    </row>
    <row r="19" s="153" customFormat="true" ht="14.6" hidden="false" customHeight="false" outlineLevel="0" collapsed="false">
      <c r="A19" s="152" t="s">
        <v>1105</v>
      </c>
      <c r="B19" s="152" t="s">
        <v>1106</v>
      </c>
      <c r="C19" s="152" t="s">
        <v>1107</v>
      </c>
      <c r="D19" s="152" t="s">
        <v>1108</v>
      </c>
    </row>
    <row r="20" s="153" customFormat="true" ht="14.6" hidden="false" customHeight="false" outlineLevel="0" collapsed="false">
      <c r="A20" s="152" t="s">
        <v>1109</v>
      </c>
      <c r="B20" s="152" t="s">
        <v>1110</v>
      </c>
      <c r="C20" s="152" t="s">
        <v>1111</v>
      </c>
      <c r="D20" s="152" t="s">
        <v>1112</v>
      </c>
    </row>
    <row r="21" s="153" customFormat="true" ht="14.6" hidden="false" customHeight="false" outlineLevel="0" collapsed="false">
      <c r="A21" s="152" t="s">
        <v>1113</v>
      </c>
      <c r="B21" s="152" t="s">
        <v>1114</v>
      </c>
      <c r="C21" s="152" t="s">
        <v>1115</v>
      </c>
      <c r="D21" s="152" t="s">
        <v>1116</v>
      </c>
    </row>
    <row r="22" s="153" customFormat="true" ht="14.6" hidden="false" customHeight="false" outlineLevel="0" collapsed="false">
      <c r="A22" s="152" t="s">
        <v>1117</v>
      </c>
      <c r="B22" s="152" t="s">
        <v>1118</v>
      </c>
      <c r="C22" s="152" t="s">
        <v>1119</v>
      </c>
      <c r="D22" s="152" t="s">
        <v>1120</v>
      </c>
    </row>
    <row r="23" s="153" customFormat="true" ht="14.6" hidden="false" customHeight="false" outlineLevel="0" collapsed="false">
      <c r="A23" s="152" t="s">
        <v>223</v>
      </c>
      <c r="B23" s="152" t="s">
        <v>1121</v>
      </c>
      <c r="C23" s="152" t="s">
        <v>1122</v>
      </c>
      <c r="D23" s="152" t="s">
        <v>1116</v>
      </c>
    </row>
    <row r="24" s="153" customFormat="true" ht="14.6" hidden="false" customHeight="false" outlineLevel="0" collapsed="false">
      <c r="A24" s="152" t="s">
        <v>1123</v>
      </c>
      <c r="B24" s="152" t="s">
        <v>1124</v>
      </c>
      <c r="C24" s="152" t="s">
        <v>1125</v>
      </c>
      <c r="D24" s="152" t="s">
        <v>1120</v>
      </c>
    </row>
    <row r="25" s="153" customFormat="true" ht="14.6" hidden="false" customHeight="false" outlineLevel="0" collapsed="false">
      <c r="A25" s="152" t="s">
        <v>1126</v>
      </c>
      <c r="B25" s="152" t="s">
        <v>1127</v>
      </c>
      <c r="C25" s="152" t="s">
        <v>1119</v>
      </c>
      <c r="D25" s="152" t="s">
        <v>1120</v>
      </c>
    </row>
    <row r="26" s="153" customFormat="true" ht="14.6" hidden="false" customHeight="false" outlineLevel="0" collapsed="false">
      <c r="A26" s="152" t="s">
        <v>1128</v>
      </c>
      <c r="B26" s="152" t="s">
        <v>1129</v>
      </c>
      <c r="C26" s="152" t="s">
        <v>1119</v>
      </c>
      <c r="D26" s="152" t="s">
        <v>1130</v>
      </c>
    </row>
    <row r="27" s="153" customFormat="true" ht="14.6" hidden="false" customHeight="false" outlineLevel="0" collapsed="false">
      <c r="A27" s="152" t="s">
        <v>1131</v>
      </c>
      <c r="B27" s="152" t="s">
        <v>1132</v>
      </c>
      <c r="C27" s="152" t="s">
        <v>1115</v>
      </c>
      <c r="D27" s="152" t="s">
        <v>1130</v>
      </c>
    </row>
    <row r="28" s="153" customFormat="true" ht="14.6" hidden="false" customHeight="false" outlineLevel="0" collapsed="false">
      <c r="A28" s="152" t="s">
        <v>1133</v>
      </c>
      <c r="B28" s="152" t="s">
        <v>1134</v>
      </c>
      <c r="C28" s="152" t="s">
        <v>1115</v>
      </c>
      <c r="D28" s="152" t="s">
        <v>1135</v>
      </c>
    </row>
    <row r="29" s="153" customFormat="true" ht="14.6" hidden="false" customHeight="false" outlineLevel="0" collapsed="false">
      <c r="A29" s="152" t="s">
        <v>1136</v>
      </c>
      <c r="B29" s="152" t="s">
        <v>1137</v>
      </c>
      <c r="C29" s="152" t="s">
        <v>1138</v>
      </c>
      <c r="D29" s="152" t="s">
        <v>1120</v>
      </c>
    </row>
    <row r="30" s="153" customFormat="true" ht="14.6" hidden="false" customHeight="false" outlineLevel="0" collapsed="false">
      <c r="A30" s="152" t="s">
        <v>1139</v>
      </c>
      <c r="B30" s="152" t="s">
        <v>1140</v>
      </c>
      <c r="C30" s="152" t="s">
        <v>1141</v>
      </c>
      <c r="D30" s="152" t="s">
        <v>1130</v>
      </c>
    </row>
    <row r="31" s="153" customFormat="true" ht="14.6" hidden="false" customHeight="false" outlineLevel="0" collapsed="false">
      <c r="A31" s="152" t="s">
        <v>1142</v>
      </c>
      <c r="B31" s="152" t="s">
        <v>1143</v>
      </c>
      <c r="C31" s="152" t="s">
        <v>1144</v>
      </c>
      <c r="D31" s="152" t="s">
        <v>1130</v>
      </c>
    </row>
    <row r="32" s="153" customFormat="true" ht="14.6" hidden="false" customHeight="false" outlineLevel="0" collapsed="false">
      <c r="A32" s="152" t="s">
        <v>1145</v>
      </c>
      <c r="B32" s="152" t="s">
        <v>1146</v>
      </c>
      <c r="C32" s="152" t="s">
        <v>1107</v>
      </c>
      <c r="D32" s="152" t="s">
        <v>1147</v>
      </c>
    </row>
    <row r="33" customFormat="false" ht="14.7" hidden="false" customHeight="true" outlineLevel="0" collapsed="false">
      <c r="A33" s="152" t="s">
        <v>1148</v>
      </c>
      <c r="B33" s="152" t="s">
        <v>1149</v>
      </c>
      <c r="C33" s="152" t="s">
        <v>1150</v>
      </c>
      <c r="D33" s="152" t="s">
        <v>1130</v>
      </c>
    </row>
    <row r="34" customFormat="false" ht="14.6" hidden="false" customHeight="false" outlineLevel="0" collapsed="false">
      <c r="A34" s="152" t="s">
        <v>1151</v>
      </c>
      <c r="B34" s="152" t="s">
        <v>1152</v>
      </c>
      <c r="C34" s="152" t="s">
        <v>1111</v>
      </c>
      <c r="D34" s="152" t="s">
        <v>1153</v>
      </c>
    </row>
    <row r="35" customFormat="false" ht="14.6" hidden="false" customHeight="false" outlineLevel="0" collapsed="false">
      <c r="A35" s="149" t="s">
        <v>1154</v>
      </c>
      <c r="B35" s="149" t="s">
        <v>1155</v>
      </c>
      <c r="C35" s="149" t="s">
        <v>1119</v>
      </c>
      <c r="D35" s="149"/>
    </row>
    <row r="36" customFormat="false" ht="14.6" hidden="false" customHeight="false" outlineLevel="0" collapsed="false">
      <c r="A36" s="149" t="s">
        <v>1156</v>
      </c>
      <c r="B36" s="149" t="s">
        <v>1157</v>
      </c>
      <c r="C36" s="149" t="s">
        <v>1107</v>
      </c>
      <c r="D36" s="149" t="s">
        <v>187</v>
      </c>
    </row>
    <row r="37" customFormat="false" ht="14.6" hidden="false" customHeight="false" outlineLevel="0" collapsed="false">
      <c r="A37" s="149" t="s">
        <v>1158</v>
      </c>
      <c r="B37" s="149" t="s">
        <v>1159</v>
      </c>
      <c r="C37" s="149"/>
      <c r="D37" s="149"/>
    </row>
    <row r="38" customFormat="false" ht="14.6" hidden="false" customHeight="false" outlineLevel="0" collapsed="false">
      <c r="A38" s="149" t="s">
        <v>1160</v>
      </c>
      <c r="B38" s="149"/>
      <c r="C38" s="149"/>
      <c r="D38" s="149"/>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FF0000"/>
    <pageSetUpPr fitToPage="false"/>
  </sheetPr>
  <dimension ref="A1:I37"/>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G13" activeCellId="0" sqref="G13"/>
    </sheetView>
  </sheetViews>
  <sheetFormatPr defaultRowHeight="14.6" zeroHeight="false" outlineLevelRow="0" outlineLevelCol="0"/>
  <cols>
    <col collapsed="false" customWidth="true" hidden="false" outlineLevel="0" max="1" min="1" style="148" width="74.53"/>
    <col collapsed="false" customWidth="true" hidden="false" outlineLevel="0" max="2" min="2" style="148" width="142.53"/>
    <col collapsed="false" customWidth="true" hidden="false" outlineLevel="0" max="3" min="3" style="0" width="18.53"/>
    <col collapsed="false" customWidth="true" hidden="false" outlineLevel="0" max="4" min="4" style="0" width="38.15"/>
    <col collapsed="false" customWidth="true" hidden="false" outlineLevel="0" max="5" min="5" style="0" width="16.38"/>
    <col collapsed="false" customWidth="true" hidden="false" outlineLevel="0" max="6" min="6" style="0" width="27"/>
    <col collapsed="false" customWidth="true" hidden="false" outlineLevel="0" max="7" min="7" style="0" width="20.15"/>
    <col collapsed="false" customWidth="true" hidden="false" outlineLevel="0" max="8" min="8" style="0" width="20"/>
    <col collapsed="false" customWidth="true" hidden="false" outlineLevel="0" max="1025" min="9" style="0" width="8.75"/>
  </cols>
  <sheetData>
    <row r="1" customFormat="false" ht="14.6" hidden="false" customHeight="false" outlineLevel="0" collapsed="false">
      <c r="A1" s="104" t="s">
        <v>1077</v>
      </c>
      <c r="B1" s="149" t="s">
        <v>16</v>
      </c>
    </row>
    <row r="2" customFormat="false" ht="14.6" hidden="false" customHeight="false" outlineLevel="0" collapsed="false">
      <c r="A2" s="104" t="s">
        <v>1080</v>
      </c>
      <c r="B2" s="150" t="s">
        <v>1161</v>
      </c>
    </row>
    <row r="3" customFormat="false" ht="14.6" hidden="false" customHeight="false" outlineLevel="0" collapsed="false">
      <c r="A3" s="104" t="s">
        <v>1162</v>
      </c>
      <c r="B3" s="151" t="s">
        <v>1163</v>
      </c>
    </row>
    <row r="4" customFormat="false" ht="14.6" hidden="false" customHeight="false" outlineLevel="0" collapsed="false">
      <c r="A4" s="104"/>
      <c r="B4" s="151" t="s">
        <v>424</v>
      </c>
    </row>
    <row r="5" customFormat="false" ht="14.6" hidden="false" customHeight="false" outlineLevel="0" collapsed="false">
      <c r="A5" s="104"/>
      <c r="B5" s="151"/>
    </row>
    <row r="6" customFormat="false" ht="15" hidden="false" customHeight="false" outlineLevel="0" collapsed="false">
      <c r="A6" s="104" t="s">
        <v>1088</v>
      </c>
      <c r="B6" s="154" t="s">
        <v>1164</v>
      </c>
      <c r="D6" s="92"/>
    </row>
    <row r="7" customFormat="false" ht="15.45" hidden="false" customHeight="true" outlineLevel="0" collapsed="false">
      <c r="A7" s="104" t="s">
        <v>1165</v>
      </c>
      <c r="B7" s="149" t="s">
        <v>1166</v>
      </c>
      <c r="C7" s="155" t="s">
        <v>1167</v>
      </c>
      <c r="D7" s="156" t="s">
        <v>1168</v>
      </c>
      <c r="E7" s="156" t="s">
        <v>1169</v>
      </c>
      <c r="F7" s="156" t="s">
        <v>1170</v>
      </c>
      <c r="G7" s="156" t="s">
        <v>1171</v>
      </c>
      <c r="H7" s="157" t="s">
        <v>1172</v>
      </c>
      <c r="I7" s="157"/>
    </row>
    <row r="8" customFormat="false" ht="15.9" hidden="false" customHeight="false" outlineLevel="0" collapsed="false">
      <c r="A8" s="104" t="s">
        <v>1173</v>
      </c>
      <c r="B8" s="151" t="s">
        <v>1174</v>
      </c>
      <c r="C8" s="158" t="n">
        <v>1</v>
      </c>
      <c r="D8" s="159" t="s">
        <v>1175</v>
      </c>
      <c r="E8" s="160" t="s">
        <v>1176</v>
      </c>
      <c r="F8" s="161" t="s">
        <v>1177</v>
      </c>
      <c r="G8" s="162" t="s">
        <v>1178</v>
      </c>
      <c r="H8" s="159" t="s">
        <v>1179</v>
      </c>
      <c r="I8" s="159" t="n">
        <v>2876</v>
      </c>
    </row>
    <row r="9" customFormat="false" ht="15.9" hidden="false" customHeight="false" outlineLevel="0" collapsed="false">
      <c r="A9" s="104"/>
      <c r="B9" s="151" t="s">
        <v>1180</v>
      </c>
      <c r="C9" s="158" t="n">
        <v>2</v>
      </c>
      <c r="D9" s="159" t="s">
        <v>1181</v>
      </c>
      <c r="E9" s="160" t="s">
        <v>1182</v>
      </c>
      <c r="F9" s="161" t="s">
        <v>1177</v>
      </c>
      <c r="G9" s="162" t="s">
        <v>1183</v>
      </c>
      <c r="H9" s="159" t="s">
        <v>1179</v>
      </c>
      <c r="I9" s="159" t="n">
        <v>2877</v>
      </c>
    </row>
    <row r="10" customFormat="false" ht="15.9" hidden="false" customHeight="false" outlineLevel="0" collapsed="false">
      <c r="A10" s="104"/>
      <c r="B10" s="151"/>
      <c r="C10" s="158" t="n">
        <v>3</v>
      </c>
      <c r="D10" s="159" t="s">
        <v>1184</v>
      </c>
      <c r="E10" s="160" t="s">
        <v>1185</v>
      </c>
      <c r="F10" s="161" t="s">
        <v>1177</v>
      </c>
      <c r="G10" s="162" t="s">
        <v>1186</v>
      </c>
      <c r="H10" s="159" t="s">
        <v>1179</v>
      </c>
      <c r="I10" s="159" t="n">
        <v>2878</v>
      </c>
    </row>
    <row r="11" customFormat="false" ht="15.9" hidden="false" customHeight="false" outlineLevel="0" collapsed="false">
      <c r="A11" s="104"/>
      <c r="B11" s="151"/>
      <c r="C11" s="158" t="n">
        <v>4</v>
      </c>
      <c r="D11" s="159" t="s">
        <v>1187</v>
      </c>
      <c r="E11" s="160" t="s">
        <v>1188</v>
      </c>
      <c r="F11" s="161" t="s">
        <v>1177</v>
      </c>
      <c r="G11" s="162" t="s">
        <v>1189</v>
      </c>
      <c r="H11" s="159" t="s">
        <v>1179</v>
      </c>
      <c r="I11" s="159" t="n">
        <v>2872</v>
      </c>
    </row>
    <row r="12" customFormat="false" ht="15.9" hidden="false" customHeight="false" outlineLevel="0" collapsed="false">
      <c r="A12" s="104" t="s">
        <v>1190</v>
      </c>
      <c r="B12" s="151" t="s">
        <v>1191</v>
      </c>
      <c r="C12" s="158" t="n">
        <v>5</v>
      </c>
      <c r="D12" s="159" t="s">
        <v>1192</v>
      </c>
      <c r="E12" s="160" t="s">
        <v>1193</v>
      </c>
      <c r="F12" s="161" t="s">
        <v>1177</v>
      </c>
      <c r="G12" s="162" t="s">
        <v>1194</v>
      </c>
      <c r="H12" s="159" t="s">
        <v>1179</v>
      </c>
      <c r="I12" s="159" t="n">
        <v>2875</v>
      </c>
    </row>
    <row r="13" customFormat="false" ht="15.9" hidden="false" customHeight="false" outlineLevel="0" collapsed="false">
      <c r="A13" s="104" t="s">
        <v>1195</v>
      </c>
      <c r="B13" s="151" t="s">
        <v>1196</v>
      </c>
      <c r="C13" s="158" t="n">
        <v>6</v>
      </c>
      <c r="D13" s="163" t="s">
        <v>1197</v>
      </c>
      <c r="E13" s="164" t="s">
        <v>1198</v>
      </c>
      <c r="F13" s="161" t="s">
        <v>1199</v>
      </c>
      <c r="G13" s="165" t="s">
        <v>1200</v>
      </c>
      <c r="H13" s="163" t="s">
        <v>1179</v>
      </c>
      <c r="I13" s="163" t="n">
        <v>2683</v>
      </c>
    </row>
    <row r="14" customFormat="false" ht="15.9" hidden="false" customHeight="false" outlineLevel="0" collapsed="false">
      <c r="A14" s="104" t="s">
        <v>1201</v>
      </c>
      <c r="B14" s="149" t="s">
        <v>1202</v>
      </c>
      <c r="C14" s="158" t="n">
        <v>7</v>
      </c>
      <c r="D14" s="166" t="s">
        <v>1203</v>
      </c>
      <c r="E14" s="166" t="s">
        <v>1204</v>
      </c>
      <c r="F14" s="166" t="s">
        <v>1205</v>
      </c>
      <c r="G14" s="167" t="s">
        <v>1206</v>
      </c>
      <c r="H14" s="168" t="s">
        <v>1179</v>
      </c>
      <c r="I14" s="168" t="n">
        <v>2684</v>
      </c>
    </row>
    <row r="15" customFormat="false" ht="14.6" hidden="false" customHeight="false" outlineLevel="0" collapsed="false">
      <c r="A15" s="104"/>
      <c r="B15" s="151"/>
    </row>
    <row r="16" customFormat="false" ht="14.6" hidden="false" customHeight="false" outlineLevel="0" collapsed="false">
      <c r="A16" s="104"/>
      <c r="B16" s="151"/>
    </row>
    <row r="17" customFormat="false" ht="14.6" hidden="false" customHeight="false" outlineLevel="0" collapsed="false">
      <c r="A17" s="104"/>
      <c r="B17" s="151"/>
    </row>
    <row r="18" customFormat="false" ht="14.6" hidden="false" customHeight="false" outlineLevel="0" collapsed="false">
      <c r="A18" s="104" t="s">
        <v>1102</v>
      </c>
      <c r="B18" s="104" t="s">
        <v>1</v>
      </c>
    </row>
    <row r="19" s="153" customFormat="true" ht="14.6" hidden="false" customHeight="false" outlineLevel="0" collapsed="false">
      <c r="A19" s="169" t="s">
        <v>1105</v>
      </c>
      <c r="B19" s="152" t="s">
        <v>1207</v>
      </c>
    </row>
    <row r="20" s="153" customFormat="true" ht="14.6" hidden="false" customHeight="false" outlineLevel="0" collapsed="false">
      <c r="A20" s="169" t="s">
        <v>1208</v>
      </c>
      <c r="B20" s="152" t="s">
        <v>1209</v>
      </c>
    </row>
    <row r="21" s="153" customFormat="true" ht="14.6" hidden="false" customHeight="false" outlineLevel="0" collapsed="false">
      <c r="A21" s="169" t="s">
        <v>1210</v>
      </c>
      <c r="B21" s="152" t="s">
        <v>1211</v>
      </c>
    </row>
    <row r="22" s="153" customFormat="true" ht="14.6" hidden="false" customHeight="false" outlineLevel="0" collapsed="false">
      <c r="A22" s="152" t="s">
        <v>228</v>
      </c>
      <c r="B22" s="152" t="s">
        <v>1212</v>
      </c>
    </row>
    <row r="23" s="153" customFormat="true" ht="14.6" hidden="false" customHeight="false" outlineLevel="0" collapsed="false">
      <c r="A23" s="152" t="s">
        <v>1213</v>
      </c>
      <c r="B23" s="152"/>
    </row>
    <row r="24" s="153" customFormat="true" ht="14.6" hidden="false" customHeight="false" outlineLevel="0" collapsed="false">
      <c r="A24" s="152" t="s">
        <v>238</v>
      </c>
      <c r="B24" s="152"/>
    </row>
    <row r="25" s="153" customFormat="true" ht="14.6" hidden="false" customHeight="false" outlineLevel="0" collapsed="false">
      <c r="A25" s="152" t="s">
        <v>1214</v>
      </c>
      <c r="B25" s="152"/>
    </row>
    <row r="26" s="153" customFormat="true" ht="14.6" hidden="false" customHeight="false" outlineLevel="0" collapsed="false">
      <c r="A26" s="152" t="s">
        <v>1215</v>
      </c>
      <c r="B26" s="152" t="s">
        <v>1216</v>
      </c>
    </row>
    <row r="27" s="153" customFormat="true" ht="14.6" hidden="false" customHeight="false" outlineLevel="0" collapsed="false">
      <c r="A27" s="152" t="s">
        <v>235</v>
      </c>
      <c r="B27" s="152"/>
    </row>
    <row r="28" s="153" customFormat="true" ht="14.6" hidden="false" customHeight="false" outlineLevel="0" collapsed="false">
      <c r="A28" s="152" t="s">
        <v>1217</v>
      </c>
      <c r="B28" s="152"/>
    </row>
    <row r="29" s="153" customFormat="true" ht="14.6" hidden="false" customHeight="false" outlineLevel="0" collapsed="false">
      <c r="A29" s="152" t="s">
        <v>1218</v>
      </c>
      <c r="B29" s="152" t="s">
        <v>1219</v>
      </c>
    </row>
    <row r="30" s="153" customFormat="true" ht="14.6" hidden="false" customHeight="false" outlineLevel="0" collapsed="false">
      <c r="A30" s="152" t="s">
        <v>1220</v>
      </c>
      <c r="B30" s="152"/>
    </row>
    <row r="31" s="153" customFormat="true" ht="14.6" hidden="false" customHeight="false" outlineLevel="0" collapsed="false">
      <c r="A31" s="169" t="s">
        <v>1221</v>
      </c>
      <c r="B31" s="152" t="s">
        <v>1222</v>
      </c>
    </row>
    <row r="32" s="153" customFormat="true" ht="14.6" hidden="false" customHeight="false" outlineLevel="0" collapsed="false">
      <c r="A32" s="152" t="s">
        <v>1223</v>
      </c>
      <c r="B32" s="152" t="s">
        <v>1224</v>
      </c>
    </row>
    <row r="33" customFormat="false" ht="14.6" hidden="false" customHeight="false" outlineLevel="0" collapsed="false">
      <c r="A33" s="152" t="s">
        <v>1151</v>
      </c>
      <c r="B33" s="152" t="s">
        <v>1225</v>
      </c>
    </row>
    <row r="36" customFormat="false" ht="14.6" hidden="false" customHeight="false" outlineLevel="0" collapsed="false">
      <c r="C36" s="149"/>
      <c r="D36" s="149"/>
    </row>
    <row r="37" customFormat="false" ht="14.6" hidden="false" customHeight="false" outlineLevel="0" collapsed="false">
      <c r="C37" s="149"/>
      <c r="D37" s="149"/>
    </row>
  </sheetData>
  <mergeCells count="1">
    <mergeCell ref="H7:I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FF0000"/>
    <pageSetUpPr fitToPage="false"/>
  </sheetPr>
  <dimension ref="A1:K42"/>
  <sheetViews>
    <sheetView showFormulas="false" showGridLines="true" showRowColHeaders="true" showZeros="true" rightToLeft="false" tabSelected="false" showOutlineSymbols="true" defaultGridColor="true" view="normal" topLeftCell="A34" colorId="64" zoomScale="100" zoomScaleNormal="100" zoomScalePageLayoutView="100" workbookViewId="0">
      <selection pane="topLeft" activeCell="A33" activeCellId="0" sqref="A33"/>
    </sheetView>
  </sheetViews>
  <sheetFormatPr defaultRowHeight="14.6" zeroHeight="false" outlineLevelRow="0" outlineLevelCol="0"/>
  <cols>
    <col collapsed="false" customWidth="true" hidden="false" outlineLevel="0" max="1" min="1" style="0" width="117.15"/>
    <col collapsed="false" customWidth="true" hidden="false" outlineLevel="0" max="2" min="2" style="0" width="58.15"/>
    <col collapsed="false" customWidth="true" hidden="false" outlineLevel="0" max="3" min="3" style="0" width="32.84"/>
    <col collapsed="false" customWidth="true" hidden="false" outlineLevel="0" max="4" min="4" style="0" width="44.46"/>
    <col collapsed="false" customWidth="true" hidden="false" outlineLevel="0" max="5" min="5" style="0" width="14.53"/>
    <col collapsed="false" customWidth="true" hidden="false" outlineLevel="0" max="6" min="6" style="0" width="9.53"/>
    <col collapsed="false" customWidth="true" hidden="false" outlineLevel="0" max="7" min="7" style="0" width="8.75"/>
    <col collapsed="false" customWidth="true" hidden="false" outlineLevel="0" max="8" min="8" style="0" width="14.3"/>
    <col collapsed="false" customWidth="true" hidden="false" outlineLevel="0" max="9" min="9" style="0" width="21"/>
    <col collapsed="false" customWidth="true" hidden="false" outlineLevel="0" max="10" min="10" style="0" width="12.84"/>
    <col collapsed="false" customWidth="true" hidden="false" outlineLevel="0" max="11" min="11" style="0" width="27.3"/>
    <col collapsed="false" customWidth="true" hidden="false" outlineLevel="0" max="13" min="12" style="0" width="8.75"/>
    <col collapsed="false" customWidth="true" hidden="false" outlineLevel="0" max="14" min="14" style="0" width="21"/>
    <col collapsed="false" customWidth="true" hidden="false" outlineLevel="0" max="15" min="15" style="0" width="12.84"/>
    <col collapsed="false" customWidth="true" hidden="false" outlineLevel="0" max="16" min="16" style="0" width="27.3"/>
    <col collapsed="false" customWidth="true" hidden="false" outlineLevel="0" max="1025" min="17" style="0" width="8.75"/>
  </cols>
  <sheetData>
    <row r="1" customFormat="false" ht="14.6" hidden="false" customHeight="false" outlineLevel="0" collapsed="false">
      <c r="A1" s="136" t="s">
        <v>1226</v>
      </c>
      <c r="B1" s="136" t="s">
        <v>1227</v>
      </c>
    </row>
    <row r="2" customFormat="false" ht="14.6" hidden="false" customHeight="false" outlineLevel="0" collapsed="false">
      <c r="A2" s="148" t="s">
        <v>1228</v>
      </c>
      <c r="B2" s="148"/>
    </row>
    <row r="3" customFormat="false" ht="15" hidden="false" customHeight="false" outlineLevel="0" collapsed="false">
      <c r="A3" s="148" t="s">
        <v>1229</v>
      </c>
      <c r="B3" s="148"/>
    </row>
    <row r="4" customFormat="false" ht="15" hidden="false" customHeight="false" outlineLevel="0" collapsed="false">
      <c r="A4" s="148" t="s">
        <v>1230</v>
      </c>
      <c r="B4" s="170" t="s">
        <v>1231</v>
      </c>
      <c r="C4" s="171" t="s">
        <v>1232</v>
      </c>
      <c r="D4" s="0" t="s">
        <v>1233</v>
      </c>
    </row>
    <row r="5" customFormat="false" ht="15" hidden="false" customHeight="false" outlineLevel="0" collapsed="false">
      <c r="A5" s="148" t="s">
        <v>1234</v>
      </c>
      <c r="B5" s="172" t="s">
        <v>1200</v>
      </c>
      <c r="C5" s="173" t="n">
        <v>2683</v>
      </c>
      <c r="D5" s="0" t="s">
        <v>1235</v>
      </c>
    </row>
    <row r="6" customFormat="false" ht="15" hidden="false" customHeight="false" outlineLevel="0" collapsed="false">
      <c r="A6" s="148" t="s">
        <v>1236</v>
      </c>
      <c r="B6" s="172" t="s">
        <v>1206</v>
      </c>
      <c r="C6" s="173" t="n">
        <v>2684</v>
      </c>
      <c r="D6" s="0" t="s">
        <v>1235</v>
      </c>
    </row>
    <row r="7" customFormat="false" ht="29.15" hidden="false" customHeight="false" outlineLevel="0" collapsed="false">
      <c r="A7" s="174" t="s">
        <v>1237</v>
      </c>
      <c r="B7" s="148" t="s">
        <v>1238</v>
      </c>
      <c r="C7" s="0" t="s">
        <v>1239</v>
      </c>
    </row>
    <row r="9" customFormat="false" ht="14.6" hidden="false" customHeight="false" outlineLevel="0" collapsed="false">
      <c r="A9" s="175" t="s">
        <v>1240</v>
      </c>
    </row>
    <row r="10" customFormat="false" ht="15" hidden="false" customHeight="false" outlineLevel="0" collapsed="false">
      <c r="A10" s="176" t="s">
        <v>1241</v>
      </c>
    </row>
    <row r="11" customFormat="false" ht="61.5" hidden="false" customHeight="true" outlineLevel="0" collapsed="false">
      <c r="A11" s="177" t="s">
        <v>1242</v>
      </c>
      <c r="B11" s="177" t="s">
        <v>1243</v>
      </c>
      <c r="C11" s="178" t="s">
        <v>1244</v>
      </c>
      <c r="D11" s="179" t="s">
        <v>1245</v>
      </c>
      <c r="E11" s="180" t="s">
        <v>1246</v>
      </c>
      <c r="F11" s="177" t="s">
        <v>1247</v>
      </c>
      <c r="G11" s="179" t="s">
        <v>1248</v>
      </c>
      <c r="H11" s="181" t="s">
        <v>1249</v>
      </c>
      <c r="I11" s="182" t="s">
        <v>1250</v>
      </c>
      <c r="J11" s="177" t="s">
        <v>1251</v>
      </c>
      <c r="K11" s="177" t="s">
        <v>1252</v>
      </c>
    </row>
    <row r="12" customFormat="false" ht="14.6" hidden="false" customHeight="false" outlineLevel="0" collapsed="false">
      <c r="A12" s="183" t="s">
        <v>1253</v>
      </c>
      <c r="B12" s="184" t="s">
        <v>1176</v>
      </c>
      <c r="C12" s="183" t="s">
        <v>1254</v>
      </c>
      <c r="D12" s="185" t="s">
        <v>1255</v>
      </c>
      <c r="E12" s="186" t="s">
        <v>1178</v>
      </c>
      <c r="F12" s="183" t="s">
        <v>1256</v>
      </c>
      <c r="G12" s="185" t="n">
        <v>4</v>
      </c>
      <c r="H12" s="185" t="n">
        <v>0</v>
      </c>
      <c r="I12" s="187" t="s">
        <v>1257</v>
      </c>
      <c r="J12" s="183" t="s">
        <v>1258</v>
      </c>
      <c r="K12" s="183"/>
    </row>
    <row r="13" customFormat="false" ht="14.6" hidden="false" customHeight="false" outlineLevel="0" collapsed="false">
      <c r="A13" s="0" t="s">
        <v>1259</v>
      </c>
      <c r="B13" s="188" t="s">
        <v>1182</v>
      </c>
      <c r="C13" s="92" t="s">
        <v>1254</v>
      </c>
      <c r="D13" s="11" t="s">
        <v>1255</v>
      </c>
      <c r="E13" s="189" t="s">
        <v>1183</v>
      </c>
      <c r="F13" s="0" t="s">
        <v>1260</v>
      </c>
      <c r="G13" s="11" t="n">
        <v>4</v>
      </c>
      <c r="H13" s="11" t="n">
        <v>0</v>
      </c>
      <c r="I13" s="190" t="s">
        <v>1261</v>
      </c>
      <c r="J13" s="0" t="s">
        <v>1258</v>
      </c>
    </row>
    <row r="14" customFormat="false" ht="14.6" hidden="false" customHeight="false" outlineLevel="0" collapsed="false">
      <c r="A14" s="183" t="s">
        <v>1262</v>
      </c>
      <c r="B14" s="183" t="s">
        <v>1185</v>
      </c>
      <c r="C14" s="183" t="s">
        <v>1254</v>
      </c>
      <c r="D14" s="185" t="s">
        <v>1255</v>
      </c>
      <c r="E14" s="186" t="s">
        <v>1186</v>
      </c>
      <c r="F14" s="183" t="s">
        <v>1256</v>
      </c>
      <c r="G14" s="185" t="n">
        <v>4</v>
      </c>
      <c r="H14" s="185" t="n">
        <v>0</v>
      </c>
      <c r="I14" s="187" t="s">
        <v>1263</v>
      </c>
      <c r="J14" s="183" t="s">
        <v>1258</v>
      </c>
      <c r="K14" s="183"/>
    </row>
    <row r="15" customFormat="false" ht="14.6" hidden="false" customHeight="false" outlineLevel="0" collapsed="false">
      <c r="A15" s="153" t="s">
        <v>1264</v>
      </c>
      <c r="B15" s="0" t="s">
        <v>1188</v>
      </c>
      <c r="C15" s="92" t="s">
        <v>1254</v>
      </c>
      <c r="D15" s="11" t="s">
        <v>1255</v>
      </c>
      <c r="E15" s="189" t="s">
        <v>1189</v>
      </c>
      <c r="F15" s="0" t="s">
        <v>1256</v>
      </c>
      <c r="G15" s="11" t="n">
        <v>4</v>
      </c>
      <c r="H15" s="11" t="n">
        <v>0</v>
      </c>
      <c r="I15" s="190" t="s">
        <v>1265</v>
      </c>
      <c r="J15" s="0" t="s">
        <v>1258</v>
      </c>
    </row>
    <row r="16" customFormat="false" ht="14.6" hidden="false" customHeight="false" outlineLevel="0" collapsed="false">
      <c r="A16" s="183" t="s">
        <v>1266</v>
      </c>
      <c r="B16" s="184" t="s">
        <v>1193</v>
      </c>
      <c r="C16" s="183" t="s">
        <v>1254</v>
      </c>
      <c r="D16" s="185" t="s">
        <v>1255</v>
      </c>
      <c r="E16" s="186" t="s">
        <v>1194</v>
      </c>
      <c r="F16" s="183" t="s">
        <v>1256</v>
      </c>
      <c r="G16" s="185" t="n">
        <v>4</v>
      </c>
      <c r="H16" s="185" t="n">
        <v>0</v>
      </c>
      <c r="I16" s="187" t="s">
        <v>1267</v>
      </c>
      <c r="J16" s="183" t="s">
        <v>1258</v>
      </c>
      <c r="K16" s="183"/>
    </row>
    <row r="17" customFormat="false" ht="14.6" hidden="false" customHeight="false" outlineLevel="0" collapsed="false">
      <c r="A17" s="191" t="s">
        <v>1268</v>
      </c>
      <c r="B17" s="0" t="s">
        <v>1198</v>
      </c>
      <c r="C17" s="92" t="s">
        <v>1254</v>
      </c>
      <c r="D17" s="11" t="s">
        <v>1255</v>
      </c>
      <c r="E17" s="189" t="s">
        <v>1200</v>
      </c>
      <c r="F17" s="0" t="s">
        <v>1256</v>
      </c>
      <c r="G17" s="11" t="n">
        <v>2</v>
      </c>
      <c r="H17" s="11" t="n">
        <v>0</v>
      </c>
      <c r="I17" s="190" t="s">
        <v>1269</v>
      </c>
      <c r="J17" s="0" t="s">
        <v>1258</v>
      </c>
      <c r="K17" s="0" t="s">
        <v>1270</v>
      </c>
    </row>
    <row r="18" customFormat="false" ht="14.6" hidden="false" customHeight="false" outlineLevel="0" collapsed="false">
      <c r="A18" s="183" t="s">
        <v>1271</v>
      </c>
      <c r="B18" s="183" t="s">
        <v>1115</v>
      </c>
      <c r="C18" s="183" t="s">
        <v>1272</v>
      </c>
      <c r="D18" s="185" t="s">
        <v>1255</v>
      </c>
      <c r="E18" s="186" t="s">
        <v>1200</v>
      </c>
      <c r="F18" s="183" t="s">
        <v>1260</v>
      </c>
      <c r="G18" s="185" t="s">
        <v>1273</v>
      </c>
      <c r="H18" s="185" t="s">
        <v>1273</v>
      </c>
      <c r="I18" s="192" t="s">
        <v>1273</v>
      </c>
      <c r="J18" s="192" t="s">
        <v>1273</v>
      </c>
      <c r="K18" s="183" t="s">
        <v>1274</v>
      </c>
    </row>
    <row r="19" customFormat="false" ht="14.6" hidden="false" customHeight="false" outlineLevel="0" collapsed="false">
      <c r="A19" s="0" t="s">
        <v>1275</v>
      </c>
      <c r="B19" s="0" t="s">
        <v>1204</v>
      </c>
      <c r="C19" s="92" t="s">
        <v>1254</v>
      </c>
      <c r="D19" s="11" t="s">
        <v>1255</v>
      </c>
      <c r="E19" s="189" t="s">
        <v>1206</v>
      </c>
      <c r="F19" s="0" t="s">
        <v>1276</v>
      </c>
      <c r="G19" s="11" t="n">
        <v>2</v>
      </c>
      <c r="H19" s="11" t="n">
        <v>0</v>
      </c>
      <c r="I19" s="190" t="s">
        <v>1277</v>
      </c>
      <c r="J19" s="0" t="s">
        <v>1258</v>
      </c>
      <c r="K19" s="0" t="s">
        <v>1278</v>
      </c>
    </row>
    <row r="20" customFormat="false" ht="15" hidden="false" customHeight="false" outlineLevel="0" collapsed="false">
      <c r="A20" s="193" t="s">
        <v>1275</v>
      </c>
      <c r="B20" s="193" t="s">
        <v>1115</v>
      </c>
      <c r="C20" s="193" t="s">
        <v>1272</v>
      </c>
      <c r="D20" s="194" t="s">
        <v>1255</v>
      </c>
      <c r="E20" s="195" t="s">
        <v>1206</v>
      </c>
      <c r="F20" s="193" t="s">
        <v>1260</v>
      </c>
      <c r="G20" s="194" t="s">
        <v>1273</v>
      </c>
      <c r="H20" s="194" t="s">
        <v>1273</v>
      </c>
      <c r="I20" s="196" t="s">
        <v>1273</v>
      </c>
      <c r="J20" s="196" t="s">
        <v>1273</v>
      </c>
      <c r="K20" s="193" t="s">
        <v>1274</v>
      </c>
    </row>
    <row r="22" customFormat="false" ht="14.6" hidden="false" customHeight="false" outlineLevel="0" collapsed="false">
      <c r="A22" s="0" t="s">
        <v>1279</v>
      </c>
      <c r="D22" s="0" t="s">
        <v>1280</v>
      </c>
      <c r="E22" s="0" t="s">
        <v>1281</v>
      </c>
    </row>
    <row r="23" customFormat="false" ht="14.6" hidden="false" customHeight="false" outlineLevel="0" collapsed="false">
      <c r="A23" s="93" t="s">
        <v>1282</v>
      </c>
      <c r="C23" s="0" t="s">
        <v>1283</v>
      </c>
      <c r="D23" s="0" t="n">
        <v>4</v>
      </c>
      <c r="E23" s="0" t="n">
        <v>4</v>
      </c>
    </row>
    <row r="24" customFormat="false" ht="14.6" hidden="false" customHeight="false" outlineLevel="0" collapsed="false">
      <c r="A24" s="93" t="s">
        <v>1284</v>
      </c>
    </row>
    <row r="28" customFormat="false" ht="14.6" hidden="false" customHeight="false" outlineLevel="0" collapsed="false">
      <c r="A28" s="136" t="s">
        <v>1227</v>
      </c>
    </row>
    <row r="29" customFormat="false" ht="14.6" hidden="false" customHeight="false" outlineLevel="0" collapsed="false">
      <c r="A29" s="148" t="s">
        <v>1285</v>
      </c>
      <c r="B29" s="148"/>
    </row>
    <row r="30" customFormat="false" ht="14.6" hidden="false" customHeight="false" outlineLevel="0" collapsed="false">
      <c r="A30" s="136" t="s">
        <v>1286</v>
      </c>
      <c r="B30" s="148"/>
    </row>
    <row r="31" customFormat="false" ht="14.6" hidden="false" customHeight="false" outlineLevel="0" collapsed="false">
      <c r="A31" s="148"/>
      <c r="B31" s="148"/>
    </row>
    <row r="33" customFormat="false" ht="14.6" hidden="false" customHeight="false" outlineLevel="0" collapsed="false">
      <c r="A33" s="197" t="s">
        <v>1287</v>
      </c>
      <c r="B33" s="197" t="s">
        <v>1288</v>
      </c>
      <c r="C33" s="197" t="s">
        <v>1289</v>
      </c>
      <c r="D33" s="197" t="s">
        <v>1290</v>
      </c>
    </row>
    <row r="34" customFormat="false" ht="14.6" hidden="false" customHeight="false" outlineLevel="0" collapsed="false">
      <c r="A34" s="198" t="s">
        <v>1291</v>
      </c>
      <c r="B34" s="199" t="s">
        <v>1292</v>
      </c>
      <c r="C34" s="199" t="s">
        <v>1293</v>
      </c>
      <c r="D34" s="80" t="s">
        <v>1294</v>
      </c>
    </row>
    <row r="35" customFormat="false" ht="43.75" hidden="false" customHeight="false" outlineLevel="0" collapsed="false">
      <c r="A35" s="200" t="s">
        <v>1295</v>
      </c>
      <c r="B35" s="201" t="s">
        <v>1296</v>
      </c>
      <c r="C35" s="201" t="s">
        <v>1296</v>
      </c>
      <c r="D35" s="130" t="s">
        <v>1297</v>
      </c>
    </row>
    <row r="36" customFormat="false" ht="14.6" hidden="false" customHeight="false" outlineLevel="0" collapsed="false">
      <c r="A36" s="198" t="s">
        <v>1298</v>
      </c>
      <c r="B36" s="80" t="s">
        <v>1299</v>
      </c>
      <c r="C36" s="201" t="s">
        <v>1296</v>
      </c>
      <c r="D36" s="80"/>
    </row>
    <row r="37" customFormat="false" ht="14.6" hidden="false" customHeight="false" outlineLevel="0" collapsed="false">
      <c r="A37" s="198" t="s">
        <v>1300</v>
      </c>
      <c r="B37" s="201" t="s">
        <v>1296</v>
      </c>
      <c r="C37" s="201" t="s">
        <v>1296</v>
      </c>
      <c r="D37" s="80"/>
    </row>
    <row r="38" customFormat="false" ht="14.6" hidden="false" customHeight="false" outlineLevel="0" collapsed="false">
      <c r="A38" s="198" t="s">
        <v>1301</v>
      </c>
      <c r="B38" s="201" t="s">
        <v>1296</v>
      </c>
      <c r="C38" s="201" t="s">
        <v>1296</v>
      </c>
      <c r="D38" s="80"/>
    </row>
    <row r="39" customFormat="false" ht="14.6" hidden="false" customHeight="false" outlineLevel="0" collapsed="false">
      <c r="A39" s="198" t="s">
        <v>1302</v>
      </c>
      <c r="B39" s="201" t="s">
        <v>1296</v>
      </c>
      <c r="C39" s="201" t="s">
        <v>1296</v>
      </c>
      <c r="D39" s="80"/>
    </row>
    <row r="40" customFormat="false" ht="14.6" hidden="false" customHeight="false" outlineLevel="0" collapsed="false">
      <c r="A40" s="200" t="s">
        <v>235</v>
      </c>
      <c r="B40" s="199" t="s">
        <v>1303</v>
      </c>
      <c r="C40" s="199" t="s">
        <v>1303</v>
      </c>
      <c r="D40" s="80" t="s">
        <v>1304</v>
      </c>
    </row>
    <row r="41" customFormat="false" ht="14.6" hidden="false" customHeight="false" outlineLevel="0" collapsed="false">
      <c r="A41" s="200" t="s">
        <v>1305</v>
      </c>
      <c r="B41" s="199" t="s">
        <v>1303</v>
      </c>
      <c r="C41" s="199" t="s">
        <v>1303</v>
      </c>
      <c r="D41" s="80" t="s">
        <v>1304</v>
      </c>
    </row>
    <row r="42" customFormat="false" ht="14.6" hidden="false" customHeight="false" outlineLevel="0" collapsed="false">
      <c r="A42" s="198" t="s">
        <v>1306</v>
      </c>
      <c r="B42" s="201" t="s">
        <v>1296</v>
      </c>
      <c r="C42" s="201" t="s">
        <v>1296</v>
      </c>
      <c r="D42" s="80"/>
    </row>
  </sheetData>
  <conditionalFormatting sqref="C12:C20">
    <cfRule type="containsText" priority="2" operator="containsText" aboveAverage="0" equalAverage="0" bottom="0" percent="0" rank="0" text="Not applicable" dxfId="0"/>
    <cfRule type="containsText" priority="3" operator="containsText" aboveAverage="0" equalAverage="0" bottom="0" percent="0" rank="0" text="Unknown host" dxfId="1"/>
    <cfRule type="containsText" priority="4" operator="containsText" aboveAverage="0" equalAverage="0" bottom="0" percent="0" rank="0" text="Connected" dxfId="2"/>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FF000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7" activeCellId="0" sqref="D7"/>
    </sheetView>
  </sheetViews>
  <sheetFormatPr defaultRowHeight="14.6" zeroHeight="false" outlineLevelRow="0" outlineLevelCol="0"/>
  <cols>
    <col collapsed="false" customWidth="true" hidden="false" outlineLevel="0" max="1" min="1" style="0" width="13.69"/>
    <col collapsed="false" customWidth="true" hidden="false" outlineLevel="0" max="2" min="2" style="0" width="16.08"/>
    <col collapsed="false" customWidth="true" hidden="false" outlineLevel="0" max="3" min="3" style="0" width="15.92"/>
    <col collapsed="false" customWidth="true" hidden="false" outlineLevel="0" max="4" min="4" style="0" width="44.46"/>
    <col collapsed="false" customWidth="true" hidden="false" outlineLevel="0" max="1025" min="5" style="0" width="8.75"/>
  </cols>
  <sheetData>
    <row r="1" customFormat="false" ht="14.6" hidden="false" customHeight="false" outlineLevel="0" collapsed="false">
      <c r="A1" s="197" t="s">
        <v>1287</v>
      </c>
      <c r="B1" s="197" t="s">
        <v>1288</v>
      </c>
      <c r="C1" s="197" t="s">
        <v>1289</v>
      </c>
      <c r="D1" s="197" t="s">
        <v>1290</v>
      </c>
    </row>
    <row r="2" customFormat="false" ht="29.15" hidden="false" customHeight="false" outlineLevel="0" collapsed="false">
      <c r="A2" s="198" t="s">
        <v>1291</v>
      </c>
      <c r="B2" s="199" t="s">
        <v>1292</v>
      </c>
      <c r="C2" s="199" t="s">
        <v>1293</v>
      </c>
      <c r="D2" s="80" t="s">
        <v>1294</v>
      </c>
    </row>
    <row r="3" customFormat="false" ht="43.75" hidden="false" customHeight="false" outlineLevel="0" collapsed="false">
      <c r="A3" s="200" t="s">
        <v>1295</v>
      </c>
      <c r="B3" s="201" t="s">
        <v>1296</v>
      </c>
      <c r="C3" s="201" t="s">
        <v>1296</v>
      </c>
      <c r="D3" s="130" t="s">
        <v>1297</v>
      </c>
    </row>
    <row r="4" customFormat="false" ht="14.6" hidden="false" customHeight="false" outlineLevel="0" collapsed="false">
      <c r="A4" s="198" t="s">
        <v>1298</v>
      </c>
      <c r="B4" s="80" t="s">
        <v>1299</v>
      </c>
      <c r="C4" s="201" t="s">
        <v>1296</v>
      </c>
      <c r="D4" s="80"/>
    </row>
    <row r="5" customFormat="false" ht="29.15" hidden="false" customHeight="false" outlineLevel="0" collapsed="false">
      <c r="A5" s="198" t="s">
        <v>1300</v>
      </c>
      <c r="B5" s="201" t="s">
        <v>1296</v>
      </c>
      <c r="C5" s="201" t="s">
        <v>1296</v>
      </c>
      <c r="D5" s="80"/>
    </row>
    <row r="6" customFormat="false" ht="14.6" hidden="false" customHeight="false" outlineLevel="0" collapsed="false">
      <c r="A6" s="198" t="s">
        <v>1301</v>
      </c>
      <c r="B6" s="201" t="s">
        <v>1296</v>
      </c>
      <c r="C6" s="201" t="s">
        <v>1296</v>
      </c>
      <c r="D6" s="80"/>
    </row>
    <row r="7" customFormat="false" ht="29.15" hidden="false" customHeight="false" outlineLevel="0" collapsed="false">
      <c r="A7" s="198" t="s">
        <v>1302</v>
      </c>
      <c r="B7" s="201" t="s">
        <v>1296</v>
      </c>
      <c r="C7" s="201" t="s">
        <v>1296</v>
      </c>
      <c r="D7" s="80"/>
    </row>
    <row r="8" customFormat="false" ht="14.6" hidden="false" customHeight="false" outlineLevel="0" collapsed="false">
      <c r="A8" s="200" t="s">
        <v>235</v>
      </c>
      <c r="B8" s="199" t="s">
        <v>1303</v>
      </c>
      <c r="C8" s="199" t="s">
        <v>1303</v>
      </c>
      <c r="D8" s="80" t="s">
        <v>1304</v>
      </c>
    </row>
    <row r="9" customFormat="false" ht="14.6" hidden="false" customHeight="false" outlineLevel="0" collapsed="false">
      <c r="A9" s="200" t="s">
        <v>1305</v>
      </c>
      <c r="B9" s="199" t="s">
        <v>1303</v>
      </c>
      <c r="C9" s="199" t="s">
        <v>1303</v>
      </c>
      <c r="D9" s="80" t="s">
        <v>1304</v>
      </c>
    </row>
    <row r="10" customFormat="false" ht="29.15" hidden="false" customHeight="false" outlineLevel="0" collapsed="false">
      <c r="A10" s="198" t="s">
        <v>1306</v>
      </c>
      <c r="B10" s="201" t="s">
        <v>1296</v>
      </c>
      <c r="C10" s="201" t="s">
        <v>1296</v>
      </c>
      <c r="D10" s="8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tabColor rgb="FFFF0000"/>
    <pageSetUpPr fitToPage="false"/>
  </sheetPr>
  <dimension ref="A1:D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4" activeCellId="0" sqref="B4"/>
    </sheetView>
  </sheetViews>
  <sheetFormatPr defaultRowHeight="14.6" zeroHeight="false" outlineLevelRow="0" outlineLevelCol="0"/>
  <cols>
    <col collapsed="false" customWidth="true" hidden="false" outlineLevel="0" max="1" min="1" style="148" width="31.53"/>
    <col collapsed="false" customWidth="true" hidden="false" outlineLevel="0" max="2" min="2" style="148" width="75.3"/>
    <col collapsed="false" customWidth="true" hidden="false" outlineLevel="0" max="3" min="3" style="0" width="48.84"/>
    <col collapsed="false" customWidth="true" hidden="false" outlineLevel="0" max="4" min="4" style="0" width="60.38"/>
    <col collapsed="false" customWidth="true" hidden="false" outlineLevel="0" max="5" min="5" style="0" width="41.3"/>
    <col collapsed="false" customWidth="true" hidden="false" outlineLevel="0" max="6" min="6" style="0" width="37.53"/>
    <col collapsed="false" customWidth="true" hidden="false" outlineLevel="0" max="1025" min="7" style="0" width="8.75"/>
  </cols>
  <sheetData>
    <row r="1" customFormat="false" ht="14.6" hidden="false" customHeight="false" outlineLevel="0" collapsed="false">
      <c r="A1" s="104" t="s">
        <v>1077</v>
      </c>
      <c r="B1" s="149"/>
      <c r="C1" s="104" t="s">
        <v>1307</v>
      </c>
      <c r="D1" s="104" t="s">
        <v>1308</v>
      </c>
    </row>
    <row r="2" customFormat="false" ht="14.6" hidden="false" customHeight="false" outlineLevel="0" collapsed="false">
      <c r="A2" s="104" t="s">
        <v>1080</v>
      </c>
      <c r="B2" s="150" t="s">
        <v>1309</v>
      </c>
      <c r="C2" s="151" t="s">
        <v>1310</v>
      </c>
      <c r="D2" s="151" t="s">
        <v>1311</v>
      </c>
    </row>
    <row r="3" customFormat="false" ht="14.6" hidden="false" customHeight="false" outlineLevel="0" collapsed="false">
      <c r="A3" s="104" t="s">
        <v>1312</v>
      </c>
      <c r="B3" s="151" t="s">
        <v>1313</v>
      </c>
      <c r="C3" s="151" t="s">
        <v>1314</v>
      </c>
      <c r="D3" s="151" t="s">
        <v>1315</v>
      </c>
    </row>
    <row r="4" customFormat="false" ht="14.6" hidden="false" customHeight="false" outlineLevel="0" collapsed="false">
      <c r="A4" s="104"/>
      <c r="B4" s="151" t="s">
        <v>1316</v>
      </c>
      <c r="C4" s="151" t="s">
        <v>1317</v>
      </c>
      <c r="D4" s="151" t="s">
        <v>1318</v>
      </c>
    </row>
    <row r="5" customFormat="false" ht="14.6" hidden="false" customHeight="false" outlineLevel="0" collapsed="false">
      <c r="A5" s="104"/>
      <c r="B5" s="151" t="s">
        <v>1319</v>
      </c>
    </row>
    <row r="6" customFormat="false" ht="14.6" hidden="false" customHeight="false" outlineLevel="0" collapsed="false">
      <c r="A6" s="104"/>
      <c r="B6" s="151" t="s">
        <v>1320</v>
      </c>
      <c r="C6" s="148" t="s">
        <v>1321</v>
      </c>
    </row>
    <row r="7" customFormat="false" ht="14.6" hidden="false" customHeight="false" outlineLevel="0" collapsed="false">
      <c r="A7" s="104" t="s">
        <v>1088</v>
      </c>
      <c r="B7" s="151"/>
      <c r="C7" s="148" t="s">
        <v>1322</v>
      </c>
    </row>
    <row r="8" customFormat="false" ht="14.6" hidden="false" customHeight="false" outlineLevel="0" collapsed="false">
      <c r="A8" s="104" t="s">
        <v>1323</v>
      </c>
      <c r="B8" s="149" t="s">
        <v>1324</v>
      </c>
      <c r="C8" s="148" t="s">
        <v>1325</v>
      </c>
    </row>
    <row r="9" customFormat="false" ht="14.6" hidden="false" customHeight="false" outlineLevel="0" collapsed="false">
      <c r="A9" s="104"/>
      <c r="B9" s="151" t="s">
        <v>1326</v>
      </c>
      <c r="C9" s="148" t="s">
        <v>1327</v>
      </c>
    </row>
    <row r="10" customFormat="false" ht="14.6" hidden="false" customHeight="false" outlineLevel="0" collapsed="false">
      <c r="A10" s="104"/>
      <c r="B10" s="151" t="s">
        <v>1328</v>
      </c>
      <c r="C10" s="148" t="s">
        <v>1329</v>
      </c>
      <c r="D10" s="104" t="s">
        <v>1330</v>
      </c>
    </row>
    <row r="11" customFormat="false" ht="29.15" hidden="false" customHeight="false" outlineLevel="0" collapsed="false">
      <c r="A11" s="104" t="s">
        <v>1331</v>
      </c>
      <c r="B11" s="151" t="s">
        <v>1332</v>
      </c>
      <c r="C11" s="104" t="s">
        <v>1333</v>
      </c>
      <c r="D11" s="8" t="s">
        <v>1334</v>
      </c>
    </row>
    <row r="12" customFormat="false" ht="14.6" hidden="false" customHeight="false" outlineLevel="0" collapsed="false">
      <c r="A12" s="104"/>
      <c r="B12" s="151" t="s">
        <v>1335</v>
      </c>
      <c r="C12" s="104" t="s">
        <v>1336</v>
      </c>
      <c r="D12" s="0" t="s">
        <v>1337</v>
      </c>
    </row>
    <row r="13" customFormat="false" ht="14.6" hidden="false" customHeight="false" outlineLevel="0" collapsed="false">
      <c r="A13" s="104" t="s">
        <v>1338</v>
      </c>
      <c r="B13" s="151"/>
      <c r="D13" s="0" t="s">
        <v>1339</v>
      </c>
    </row>
    <row r="14" customFormat="false" ht="14.6" hidden="false" customHeight="false" outlineLevel="0" collapsed="false">
      <c r="A14" s="104"/>
      <c r="B14" s="151" t="s">
        <v>1340</v>
      </c>
      <c r="C14" s="0" t="s">
        <v>1341</v>
      </c>
      <c r="D14" s="0" t="s">
        <v>1342</v>
      </c>
    </row>
    <row r="15" customFormat="false" ht="14.6" hidden="false" customHeight="false" outlineLevel="0" collapsed="false">
      <c r="A15" s="104"/>
      <c r="B15" s="151"/>
      <c r="D15" s="0" t="s">
        <v>1343</v>
      </c>
    </row>
    <row r="16" customFormat="false" ht="29.15" hidden="false" customHeight="false" outlineLevel="0" collapsed="false">
      <c r="A16" s="104"/>
      <c r="B16" s="151"/>
      <c r="C16" s="0" t="s">
        <v>1344</v>
      </c>
      <c r="D16" s="8" t="s">
        <v>1345</v>
      </c>
    </row>
    <row r="17" customFormat="false" ht="14.6" hidden="false" customHeight="false" outlineLevel="0" collapsed="false">
      <c r="A17" s="104" t="s">
        <v>1102</v>
      </c>
      <c r="B17" s="104" t="s">
        <v>1</v>
      </c>
      <c r="C17" s="0" t="s">
        <v>92</v>
      </c>
      <c r="D17" s="0" t="s">
        <v>1346</v>
      </c>
    </row>
    <row r="18" s="153" customFormat="true" ht="14.6" hidden="false" customHeight="false" outlineLevel="0" collapsed="false">
      <c r="A18" s="152" t="s">
        <v>1347</v>
      </c>
      <c r="B18" s="152"/>
      <c r="C18" s="153" t="s">
        <v>1348</v>
      </c>
      <c r="D18" s="153" t="s">
        <v>1349</v>
      </c>
    </row>
    <row r="19" s="153" customFormat="true" ht="14.6" hidden="false" customHeight="false" outlineLevel="0" collapsed="false">
      <c r="A19" s="152" t="s">
        <v>1295</v>
      </c>
      <c r="B19" s="152" t="s">
        <v>1350</v>
      </c>
      <c r="C19" s="153" t="s">
        <v>1351</v>
      </c>
      <c r="D19" s="153" t="s">
        <v>1352</v>
      </c>
    </row>
    <row r="20" s="153" customFormat="true" ht="14.6" hidden="false" customHeight="false" outlineLevel="0" collapsed="false">
      <c r="A20" s="152" t="s">
        <v>1353</v>
      </c>
      <c r="B20" s="152"/>
      <c r="C20" s="153" t="s">
        <v>1354</v>
      </c>
      <c r="D20" s="153" t="s">
        <v>1355</v>
      </c>
    </row>
    <row r="21" s="153" customFormat="true" ht="14.6" hidden="false" customHeight="false" outlineLevel="0" collapsed="false">
      <c r="A21" s="152" t="s">
        <v>222</v>
      </c>
      <c r="B21" s="152"/>
      <c r="C21" s="153" t="s">
        <v>1356</v>
      </c>
      <c r="D21" s="153" t="s">
        <v>1357</v>
      </c>
    </row>
    <row r="22" s="153" customFormat="true" ht="14.6" hidden="false" customHeight="false" outlineLevel="0" collapsed="false">
      <c r="C22" s="153" t="s">
        <v>1358</v>
      </c>
      <c r="D22" s="153" t="s">
        <v>1359</v>
      </c>
    </row>
    <row r="23" s="153" customFormat="true" ht="14.6" hidden="false" customHeight="false" outlineLevel="0" collapsed="false">
      <c r="C23" s="153" t="s">
        <v>1360</v>
      </c>
      <c r="D23" s="153" t="s">
        <v>1361</v>
      </c>
    </row>
    <row r="24" s="153" customFormat="true" ht="14.6" hidden="false" customHeight="false" outlineLevel="0" collapsed="false">
      <c r="B24" s="153" t="s">
        <v>1362</v>
      </c>
      <c r="C24" s="153" t="s">
        <v>1363</v>
      </c>
    </row>
    <row r="25" s="153" customFormat="true" ht="14.6" hidden="false" customHeight="false" outlineLevel="0" collapsed="false">
      <c r="A25" s="153" t="s">
        <v>1364</v>
      </c>
    </row>
    <row r="26" s="153" customFormat="true" ht="14.6" hidden="false" customHeight="false" outlineLevel="0" collapsed="false">
      <c r="A26" s="153" t="s">
        <v>1365</v>
      </c>
      <c r="B26" s="153" t="s">
        <v>1366</v>
      </c>
      <c r="C26" s="153" t="s">
        <v>1367</v>
      </c>
    </row>
    <row r="27" s="153" customFormat="true" ht="14.6" hidden="false" customHeight="false" outlineLevel="0" collapsed="false">
      <c r="A27" s="153" t="s">
        <v>1368</v>
      </c>
      <c r="B27" s="153" t="s">
        <v>1366</v>
      </c>
      <c r="C27" s="153" t="s">
        <v>1367</v>
      </c>
    </row>
    <row r="28" s="153" customFormat="true" ht="14.6" hidden="false" customHeight="false" outlineLevel="0" collapsed="false">
      <c r="A28" s="153" t="s">
        <v>1369</v>
      </c>
      <c r="B28" s="153" t="s">
        <v>1366</v>
      </c>
      <c r="C28" s="153" t="s">
        <v>1367</v>
      </c>
    </row>
    <row r="29" s="153" customFormat="true" ht="14.6" hidden="false" customHeight="false" outlineLevel="0" collapsed="false">
      <c r="A29" s="153" t="s">
        <v>1370</v>
      </c>
      <c r="B29" s="153" t="s">
        <v>1366</v>
      </c>
      <c r="C29" s="153" t="s">
        <v>1367</v>
      </c>
    </row>
    <row r="30" s="153" customFormat="true" ht="14.6" hidden="false" customHeight="false" outlineLevel="0" collapsed="false">
      <c r="A30" s="153" t="s">
        <v>1371</v>
      </c>
      <c r="B30" s="153" t="s">
        <v>1366</v>
      </c>
      <c r="C30" s="153" t="s">
        <v>1367</v>
      </c>
    </row>
    <row r="31" s="153" customFormat="true" ht="14.6" hidden="false" customHeight="false" outlineLevel="0" collapsed="false">
      <c r="A31" s="153" t="s">
        <v>1372</v>
      </c>
      <c r="B31" s="153" t="s">
        <v>1373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tabColor rgb="FF00B050"/>
    <pageSetUpPr fitToPage="false"/>
  </sheetPr>
  <dimension ref="A1:F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4" activeCellId="0" sqref="E24"/>
    </sheetView>
  </sheetViews>
  <sheetFormatPr defaultRowHeight="14.6" zeroHeight="false" outlineLevelRow="0" outlineLevelCol="0"/>
  <cols>
    <col collapsed="false" customWidth="true" hidden="false" outlineLevel="0" max="1" min="1" style="0" width="20.3"/>
    <col collapsed="false" customWidth="true" hidden="false" outlineLevel="0" max="2" min="2" style="0" width="22"/>
    <col collapsed="false" customWidth="true" hidden="false" outlineLevel="0" max="3" min="3" style="0" width="8.75"/>
    <col collapsed="false" customWidth="true" hidden="false" outlineLevel="0" max="4" min="4" style="0" width="20.7"/>
    <col collapsed="false" customWidth="true" hidden="false" outlineLevel="0" max="5" min="5" style="0" width="64.38"/>
    <col collapsed="false" customWidth="true" hidden="false" outlineLevel="0" max="6" min="6" style="0" width="58.69"/>
    <col collapsed="false" customWidth="true" hidden="false" outlineLevel="0" max="1025" min="7" style="0" width="8.75"/>
  </cols>
  <sheetData>
    <row r="1" customFormat="false" ht="15" hidden="false" customHeight="false" outlineLevel="0" collapsed="false">
      <c r="A1" s="202" t="s">
        <v>1374</v>
      </c>
      <c r="B1" s="203" t="s">
        <v>139</v>
      </c>
      <c r="E1" s="104" t="s">
        <v>1190</v>
      </c>
      <c r="F1" s="104" t="s">
        <v>1173</v>
      </c>
    </row>
    <row r="2" customFormat="false" ht="15" hidden="false" customHeight="false" outlineLevel="0" collapsed="false">
      <c r="A2" s="68" t="s">
        <v>71</v>
      </c>
      <c r="B2" s="204" t="s">
        <v>142</v>
      </c>
      <c r="D2" s="205" t="s">
        <v>1375</v>
      </c>
      <c r="E2" s="206" t="s">
        <v>1376</v>
      </c>
      <c r="F2" s="206"/>
    </row>
    <row r="3" customFormat="false" ht="15" hidden="false" customHeight="false" outlineLevel="0" collapsed="false">
      <c r="A3" s="68" t="s">
        <v>1377</v>
      </c>
      <c r="B3" s="204" t="s">
        <v>1378</v>
      </c>
      <c r="D3" s="205"/>
      <c r="E3" s="206" t="s">
        <v>1379</v>
      </c>
      <c r="F3" s="206"/>
    </row>
    <row r="4" customFormat="false" ht="15" hidden="false" customHeight="false" outlineLevel="0" collapsed="false">
      <c r="A4" s="68" t="s">
        <v>1380</v>
      </c>
      <c r="B4" s="204" t="s">
        <v>1378</v>
      </c>
      <c r="D4" s="205"/>
      <c r="E4" s="206" t="s">
        <v>1381</v>
      </c>
      <c r="F4" s="206" t="s">
        <v>1382</v>
      </c>
    </row>
    <row r="5" customFormat="false" ht="15" hidden="false" customHeight="false" outlineLevel="0" collapsed="false">
      <c r="A5" s="68" t="s">
        <v>1383</v>
      </c>
      <c r="B5" s="204" t="s">
        <v>144</v>
      </c>
      <c r="D5" s="205"/>
      <c r="E5" s="206" t="s">
        <v>1384</v>
      </c>
      <c r="F5" s="206" t="s">
        <v>1384</v>
      </c>
    </row>
    <row r="6" customFormat="false" ht="15" hidden="false" customHeight="false" outlineLevel="0" collapsed="false">
      <c r="A6" s="68" t="s">
        <v>1385</v>
      </c>
      <c r="B6" s="204" t="s">
        <v>145</v>
      </c>
      <c r="D6" s="205"/>
      <c r="E6" s="206" t="s">
        <v>1386</v>
      </c>
      <c r="F6" s="206" t="s">
        <v>1386</v>
      </c>
    </row>
    <row r="7" customFormat="false" ht="15" hidden="false" customHeight="false" outlineLevel="0" collapsed="false">
      <c r="A7" s="68" t="s">
        <v>1387</v>
      </c>
      <c r="B7" s="204" t="s">
        <v>1388</v>
      </c>
      <c r="D7" s="207" t="s">
        <v>1389</v>
      </c>
      <c r="E7" s="208" t="s">
        <v>1390</v>
      </c>
      <c r="F7" s="208" t="s">
        <v>1391</v>
      </c>
    </row>
    <row r="8" customFormat="false" ht="15" hidden="false" customHeight="false" outlineLevel="0" collapsed="false">
      <c r="A8" s="68" t="s">
        <v>1392</v>
      </c>
      <c r="B8" s="70" t="s">
        <v>147</v>
      </c>
      <c r="D8" s="207"/>
      <c r="E8" s="208" t="s">
        <v>1393</v>
      </c>
      <c r="F8" s="208" t="s">
        <v>1391</v>
      </c>
    </row>
    <row r="9" customFormat="false" ht="15" hidden="false" customHeight="false" outlineLevel="0" collapsed="false">
      <c r="A9" s="68" t="s">
        <v>1394</v>
      </c>
      <c r="B9" s="69" t="s">
        <v>147</v>
      </c>
      <c r="D9" s="207"/>
      <c r="E9" s="208" t="s">
        <v>1395</v>
      </c>
      <c r="F9" s="208" t="s">
        <v>1396</v>
      </c>
    </row>
    <row r="10" customFormat="false" ht="15" hidden="false" customHeight="false" outlineLevel="0" collapsed="false">
      <c r="A10" s="68" t="s">
        <v>1397</v>
      </c>
      <c r="B10" s="204" t="s">
        <v>150</v>
      </c>
      <c r="D10" s="207"/>
      <c r="E10" s="208" t="s">
        <v>1398</v>
      </c>
      <c r="F10" s="208" t="s">
        <v>1391</v>
      </c>
    </row>
    <row r="11" customFormat="false" ht="15" hidden="false" customHeight="false" outlineLevel="0" collapsed="false">
      <c r="A11" s="68" t="s">
        <v>122</v>
      </c>
      <c r="B11" s="204" t="s">
        <v>121</v>
      </c>
      <c r="D11" s="207"/>
      <c r="E11" s="208" t="s">
        <v>1399</v>
      </c>
      <c r="F11" s="208" t="s">
        <v>1400</v>
      </c>
    </row>
    <row r="12" customFormat="false" ht="15" hidden="false" customHeight="false" outlineLevel="0" collapsed="false">
      <c r="A12" s="209" t="s">
        <v>1401</v>
      </c>
      <c r="B12" s="204" t="s">
        <v>1402</v>
      </c>
      <c r="D12" s="207"/>
      <c r="E12" s="208" t="s">
        <v>1403</v>
      </c>
      <c r="F12" s="208" t="s">
        <v>1403</v>
      </c>
    </row>
    <row r="13" customFormat="false" ht="15" hidden="false" customHeight="false" outlineLevel="0" collapsed="false">
      <c r="A13" s="209" t="s">
        <v>1404</v>
      </c>
      <c r="B13" s="210" t="s">
        <v>1405</v>
      </c>
      <c r="D13" s="207"/>
      <c r="E13" s="208" t="s">
        <v>1406</v>
      </c>
      <c r="F13" s="208" t="s">
        <v>1406</v>
      </c>
    </row>
    <row r="14" customFormat="false" ht="15" hidden="false" customHeight="false" outlineLevel="0" collapsed="false">
      <c r="A14" s="209" t="s">
        <v>1407</v>
      </c>
      <c r="B14" s="211" t="s">
        <v>1408</v>
      </c>
      <c r="D14" s="207"/>
      <c r="E14" s="208" t="s">
        <v>1409</v>
      </c>
      <c r="F14" s="208" t="s">
        <v>1409</v>
      </c>
    </row>
    <row r="15" customFormat="false" ht="14.6" hidden="false" customHeight="false" outlineLevel="0" collapsed="false">
      <c r="D15" s="207"/>
      <c r="E15" s="208" t="s">
        <v>1410</v>
      </c>
      <c r="F15" s="208" t="s">
        <v>1411</v>
      </c>
    </row>
  </sheetData>
  <mergeCells count="2">
    <mergeCell ref="D2:D6"/>
    <mergeCell ref="D7:D15"/>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30.xml><?xml version="1.0" encoding="utf-8"?>
<worksheet xmlns="http://schemas.openxmlformats.org/spreadsheetml/2006/main" xmlns:r="http://schemas.openxmlformats.org/officeDocument/2006/relationships">
  <sheetPr filterMode="false">
    <tabColor rgb="FFFF0000"/>
    <pageSetUpPr fitToPage="false"/>
  </sheetPr>
  <dimension ref="A1:AK4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7" activeCellId="0" sqref="E17"/>
    </sheetView>
  </sheetViews>
  <sheetFormatPr defaultRowHeight="14.6" zeroHeight="false" outlineLevelRow="0" outlineLevelCol="0"/>
  <cols>
    <col collapsed="false" customWidth="true" hidden="false" outlineLevel="0" max="1" min="1" style="0" width="27.84"/>
    <col collapsed="false" customWidth="true" hidden="false" outlineLevel="0" max="2" min="2" style="0" width="15.46"/>
    <col collapsed="false" customWidth="true" hidden="false" outlineLevel="0" max="3" min="3" style="0" width="12.23"/>
    <col collapsed="false" customWidth="true" hidden="false" outlineLevel="0" max="4" min="4" style="0" width="18"/>
    <col collapsed="false" customWidth="true" hidden="false" outlineLevel="0" max="5" min="5" style="0" width="15.53"/>
    <col collapsed="false" customWidth="true" hidden="false" outlineLevel="0" max="6" min="6" style="0" width="16.08"/>
    <col collapsed="false" customWidth="true" hidden="false" outlineLevel="0" max="7" min="7" style="0" width="29.3"/>
    <col collapsed="false" customWidth="true" hidden="false" outlineLevel="0" max="8" min="8" style="0" width="12.08"/>
    <col collapsed="false" customWidth="true" hidden="false" outlineLevel="0" max="9" min="9" style="0" width="20.7"/>
    <col collapsed="false" customWidth="true" hidden="false" outlineLevel="0" max="10" min="10" style="0" width="21.85"/>
    <col collapsed="false" customWidth="true" hidden="false" outlineLevel="0" max="11" min="11" style="0" width="13"/>
    <col collapsed="false" customWidth="true" hidden="false" outlineLevel="0" max="12" min="12" style="0" width="11.3"/>
    <col collapsed="false" customWidth="true" hidden="false" outlineLevel="0" max="13" min="13" style="0" width="13.3"/>
    <col collapsed="false" customWidth="true" hidden="false" outlineLevel="0" max="14" min="14" style="0" width="12.53"/>
    <col collapsed="false" customWidth="true" hidden="false" outlineLevel="0" max="15" min="15" style="0" width="11"/>
    <col collapsed="false" customWidth="true" hidden="false" outlineLevel="0" max="16" min="16" style="0" width="9.3"/>
    <col collapsed="false" customWidth="true" hidden="false" outlineLevel="0" max="17" min="17" style="0" width="27.15"/>
    <col collapsed="false" customWidth="true" hidden="false" outlineLevel="0" max="18" min="18" style="0" width="8.3"/>
    <col collapsed="false" customWidth="true" hidden="false" outlineLevel="0" max="19" min="19" style="0" width="13.3"/>
    <col collapsed="false" customWidth="true" hidden="false" outlineLevel="0" max="20" min="20" style="0" width="12.53"/>
    <col collapsed="false" customWidth="true" hidden="false" outlineLevel="0" max="21" min="21" style="0" width="12"/>
    <col collapsed="false" customWidth="true" hidden="false" outlineLevel="0" max="22" min="22" style="0" width="9.3"/>
    <col collapsed="false" customWidth="true" hidden="false" outlineLevel="0" max="28" min="23" style="0" width="27.3"/>
    <col collapsed="false" customWidth="true" hidden="false" outlineLevel="0" max="29" min="29" style="0" width="14.69"/>
    <col collapsed="false" customWidth="true" hidden="false" outlineLevel="0" max="30" min="30" style="0" width="18.38"/>
    <col collapsed="false" customWidth="true" hidden="false" outlineLevel="0" max="31" min="31" style="0" width="10.38"/>
    <col collapsed="false" customWidth="true" hidden="false" outlineLevel="0" max="33" min="32" style="0" width="19.53"/>
    <col collapsed="false" customWidth="true" hidden="false" outlineLevel="0" max="34" min="34" style="0" width="14"/>
    <col collapsed="false" customWidth="true" hidden="false" outlineLevel="0" max="35" min="35" style="0" width="39.53"/>
    <col collapsed="false" customWidth="true" hidden="false" outlineLevel="0" max="36" min="36" style="0" width="10.53"/>
    <col collapsed="false" customWidth="true" hidden="false" outlineLevel="0" max="37" min="37" style="0" width="16.69"/>
    <col collapsed="false" customWidth="true" hidden="false" outlineLevel="0" max="1025" min="38" style="0" width="8.75"/>
  </cols>
  <sheetData>
    <row r="1" customFormat="false" ht="14.6" hidden="false" customHeight="false" outlineLevel="0" collapsed="false">
      <c r="A1" s="136" t="s">
        <v>1412</v>
      </c>
    </row>
    <row r="2" customFormat="false" ht="14.6" hidden="false" customHeight="false" outlineLevel="0" collapsed="false">
      <c r="A2" s="0" t="s">
        <v>1413</v>
      </c>
      <c r="AH2" s="92" t="s">
        <v>1414</v>
      </c>
      <c r="AI2" s="92" t="s">
        <v>1415</v>
      </c>
      <c r="AJ2" s="92" t="s">
        <v>1416</v>
      </c>
      <c r="AK2" s="92" t="s">
        <v>1417</v>
      </c>
    </row>
    <row r="3" customFormat="false" ht="51.45" hidden="false" customHeight="false" outlineLevel="0" collapsed="false">
      <c r="A3" s="212" t="s">
        <v>1418</v>
      </c>
      <c r="AH3" s="213" t="s">
        <v>1419</v>
      </c>
      <c r="AI3" s="213" t="s">
        <v>1420</v>
      </c>
      <c r="AJ3" s="0" t="n">
        <v>2</v>
      </c>
      <c r="AK3" s="0" t="n">
        <v>1</v>
      </c>
    </row>
    <row r="4" customFormat="false" ht="14.6" hidden="false" customHeight="false" outlineLevel="0" collapsed="false">
      <c r="AH4" s="213" t="s">
        <v>1419</v>
      </c>
      <c r="AI4" s="213" t="s">
        <v>1421</v>
      </c>
      <c r="AJ4" s="0" t="n">
        <v>3</v>
      </c>
      <c r="AK4" s="0" t="n">
        <v>1</v>
      </c>
    </row>
    <row r="5" customFormat="false" ht="14.6" hidden="false" customHeight="false" outlineLevel="0" collapsed="false">
      <c r="B5" s="10" t="s">
        <v>1414</v>
      </c>
      <c r="C5" s="214" t="s">
        <v>1416</v>
      </c>
      <c r="D5" s="214" t="s">
        <v>1417</v>
      </c>
      <c r="F5" s="215" t="s">
        <v>1422</v>
      </c>
      <c r="G5" s="215" t="s">
        <v>1415</v>
      </c>
      <c r="H5" s="215" t="s">
        <v>1423</v>
      </c>
      <c r="I5" s="215" t="s">
        <v>1424</v>
      </c>
      <c r="AH5" s="213" t="s">
        <v>1419</v>
      </c>
      <c r="AI5" s="213" t="s">
        <v>1425</v>
      </c>
      <c r="AJ5" s="0" t="n">
        <v>2</v>
      </c>
      <c r="AK5" s="0" t="n">
        <v>1</v>
      </c>
    </row>
    <row r="6" customFormat="false" ht="14.6" hidden="false" customHeight="false" outlineLevel="0" collapsed="false">
      <c r="B6" s="216" t="s">
        <v>1419</v>
      </c>
      <c r="C6" s="11" t="n">
        <v>1</v>
      </c>
      <c r="D6" s="11" t="n">
        <v>2</v>
      </c>
      <c r="F6" s="217" t="n">
        <v>43678</v>
      </c>
      <c r="G6" s="218" t="s">
        <v>222</v>
      </c>
      <c r="H6" s="80" t="n">
        <v>1</v>
      </c>
      <c r="I6" s="218" t="s">
        <v>1426</v>
      </c>
      <c r="AH6" s="213" t="s">
        <v>1419</v>
      </c>
      <c r="AI6" s="213" t="s">
        <v>223</v>
      </c>
      <c r="AJ6" s="0" t="n">
        <v>2</v>
      </c>
      <c r="AK6" s="0" t="n">
        <v>1</v>
      </c>
    </row>
    <row r="7" customFormat="false" ht="14.6" hidden="false" customHeight="false" outlineLevel="0" collapsed="false">
      <c r="A7" s="0" t="s">
        <v>1427</v>
      </c>
      <c r="B7" s="216" t="s">
        <v>1419</v>
      </c>
      <c r="C7" s="11" t="n">
        <v>2</v>
      </c>
      <c r="D7" s="11" t="n">
        <v>7</v>
      </c>
      <c r="F7" s="217" t="n">
        <v>43713</v>
      </c>
      <c r="G7" s="218" t="s">
        <v>222</v>
      </c>
      <c r="H7" s="80" t="n">
        <v>2</v>
      </c>
      <c r="I7" s="218" t="s">
        <v>1428</v>
      </c>
      <c r="AH7" s="213" t="s">
        <v>1419</v>
      </c>
      <c r="AI7" s="213" t="s">
        <v>1429</v>
      </c>
      <c r="AJ7" s="0" t="n">
        <v>2</v>
      </c>
      <c r="AK7" s="0" t="n">
        <v>1</v>
      </c>
    </row>
    <row r="8" customFormat="false" ht="14.6" hidden="false" customHeight="false" outlineLevel="0" collapsed="false">
      <c r="B8" s="216" t="s">
        <v>1419</v>
      </c>
      <c r="C8" s="11" t="n">
        <v>3</v>
      </c>
      <c r="D8" s="11" t="n">
        <v>12</v>
      </c>
      <c r="F8" s="217" t="n">
        <v>43731</v>
      </c>
      <c r="G8" s="218" t="s">
        <v>222</v>
      </c>
      <c r="H8" s="80" t="n">
        <v>2</v>
      </c>
      <c r="I8" s="218" t="s">
        <v>1430</v>
      </c>
      <c r="AH8" s="213" t="s">
        <v>1419</v>
      </c>
      <c r="AI8" s="213" t="s">
        <v>1431</v>
      </c>
      <c r="AJ8" s="0" t="n">
        <v>3</v>
      </c>
      <c r="AK8" s="0" t="n">
        <v>2</v>
      </c>
    </row>
    <row r="9" customFormat="false" ht="14.6" hidden="false" customHeight="false" outlineLevel="0" collapsed="false">
      <c r="B9" s="216" t="s">
        <v>1432</v>
      </c>
      <c r="C9" s="11" t="n">
        <v>1</v>
      </c>
      <c r="D9" s="11" t="n">
        <v>1</v>
      </c>
      <c r="F9" s="217" t="n">
        <v>43733</v>
      </c>
      <c r="G9" s="218" t="s">
        <v>222</v>
      </c>
      <c r="H9" s="80" t="n">
        <v>2</v>
      </c>
      <c r="I9" s="218" t="s">
        <v>1433</v>
      </c>
      <c r="AH9" s="213" t="s">
        <v>1419</v>
      </c>
      <c r="AI9" s="213" t="s">
        <v>1434</v>
      </c>
      <c r="AJ9" s="0" t="n">
        <v>3</v>
      </c>
      <c r="AK9" s="0" t="n">
        <v>1</v>
      </c>
    </row>
    <row r="10" customFormat="false" ht="14.6" hidden="false" customHeight="false" outlineLevel="0" collapsed="false">
      <c r="B10" s="216" t="s">
        <v>1432</v>
      </c>
      <c r="C10" s="11" t="n">
        <v>2</v>
      </c>
      <c r="D10" s="11" t="n">
        <v>13</v>
      </c>
      <c r="F10" s="217" t="n">
        <v>43744</v>
      </c>
      <c r="G10" s="218" t="s">
        <v>222</v>
      </c>
      <c r="H10" s="80" t="n">
        <v>3</v>
      </c>
      <c r="I10" s="218" t="s">
        <v>1435</v>
      </c>
      <c r="AH10" s="213" t="s">
        <v>1419</v>
      </c>
      <c r="AI10" s="213" t="s">
        <v>222</v>
      </c>
      <c r="AJ10" s="0" t="n">
        <v>1</v>
      </c>
      <c r="AK10" s="0" t="n">
        <v>1</v>
      </c>
    </row>
    <row r="11" customFormat="false" ht="14.6" hidden="false" customHeight="false" outlineLevel="0" collapsed="false">
      <c r="A11" s="0" t="s">
        <v>1436</v>
      </c>
      <c r="B11" s="216" t="s">
        <v>1432</v>
      </c>
      <c r="C11" s="11" t="n">
        <v>3</v>
      </c>
      <c r="D11" s="11" t="n">
        <v>12</v>
      </c>
      <c r="F11" s="217" t="n">
        <v>43754</v>
      </c>
      <c r="G11" s="218" t="s">
        <v>222</v>
      </c>
      <c r="H11" s="80" t="n">
        <v>2</v>
      </c>
      <c r="I11" s="218" t="s">
        <v>1437</v>
      </c>
      <c r="AH11" s="213" t="s">
        <v>1419</v>
      </c>
      <c r="AI11" s="213" t="s">
        <v>1438</v>
      </c>
      <c r="AJ11" s="0" t="n">
        <v>3</v>
      </c>
      <c r="AK11" s="0" t="n">
        <v>1</v>
      </c>
    </row>
    <row r="12" customFormat="false" ht="14.6" hidden="false" customHeight="false" outlineLevel="0" collapsed="false">
      <c r="A12" s="0" t="s">
        <v>1439</v>
      </c>
      <c r="B12" s="216" t="s">
        <v>1440</v>
      </c>
      <c r="C12" s="11" t="n">
        <v>2</v>
      </c>
      <c r="D12" s="11" t="n">
        <v>16</v>
      </c>
      <c r="F12" s="217" t="n">
        <v>43770</v>
      </c>
      <c r="G12" s="218" t="s">
        <v>222</v>
      </c>
      <c r="H12" s="80" t="n">
        <v>2</v>
      </c>
      <c r="I12" s="218" t="s">
        <v>1441</v>
      </c>
      <c r="AH12" s="213" t="s">
        <v>1419</v>
      </c>
      <c r="AI12" s="213" t="s">
        <v>1442</v>
      </c>
      <c r="AJ12" s="0" t="n">
        <v>3</v>
      </c>
      <c r="AK12" s="0" t="n">
        <v>1</v>
      </c>
    </row>
    <row r="13" customFormat="false" ht="14.6" hidden="false" customHeight="false" outlineLevel="0" collapsed="false">
      <c r="A13" s="0" t="s">
        <v>1443</v>
      </c>
      <c r="B13" s="216" t="s">
        <v>1440</v>
      </c>
      <c r="C13" s="11" t="n">
        <v>3</v>
      </c>
      <c r="D13" s="11" t="n">
        <v>9</v>
      </c>
      <c r="F13" s="217" t="n">
        <v>43787</v>
      </c>
      <c r="G13" s="218" t="s">
        <v>222</v>
      </c>
      <c r="H13" s="80" t="n">
        <v>3</v>
      </c>
      <c r="I13" s="218" t="s">
        <v>1444</v>
      </c>
      <c r="AH13" s="213" t="s">
        <v>1419</v>
      </c>
      <c r="AI13" s="213" t="s">
        <v>1445</v>
      </c>
      <c r="AJ13" s="0" t="n">
        <v>2</v>
      </c>
      <c r="AK13" s="0" t="n">
        <v>2</v>
      </c>
    </row>
    <row r="14" customFormat="false" ht="14.6" hidden="false" customHeight="false" outlineLevel="0" collapsed="false">
      <c r="B14" s="216" t="s">
        <v>1446</v>
      </c>
      <c r="C14" s="11" t="n">
        <v>1</v>
      </c>
      <c r="D14" s="11" t="n">
        <v>4</v>
      </c>
      <c r="F14" s="217" t="n">
        <v>43797</v>
      </c>
      <c r="G14" s="218" t="s">
        <v>1447</v>
      </c>
      <c r="H14" s="80" t="n">
        <v>2</v>
      </c>
      <c r="I14" s="218" t="s">
        <v>1448</v>
      </c>
      <c r="AH14" s="213" t="s">
        <v>1419</v>
      </c>
      <c r="AI14" s="213" t="s">
        <v>1449</v>
      </c>
      <c r="AJ14" s="0" t="n">
        <v>3</v>
      </c>
      <c r="AK14" s="0" t="n">
        <v>1</v>
      </c>
    </row>
    <row r="15" customFormat="false" ht="14.6" hidden="false" customHeight="false" outlineLevel="0" collapsed="false">
      <c r="B15" s="216" t="s">
        <v>1446</v>
      </c>
      <c r="C15" s="11" t="n">
        <v>2</v>
      </c>
      <c r="D15" s="11" t="n">
        <v>8</v>
      </c>
      <c r="F15" s="217" t="n">
        <v>43791</v>
      </c>
      <c r="G15" s="218" t="s">
        <v>222</v>
      </c>
      <c r="H15" s="80" t="n">
        <v>3</v>
      </c>
      <c r="I15" s="218" t="s">
        <v>1450</v>
      </c>
      <c r="AH15" s="213" t="s">
        <v>1419</v>
      </c>
      <c r="AI15" s="213" t="s">
        <v>1451</v>
      </c>
      <c r="AJ15" s="0" t="n">
        <v>2</v>
      </c>
      <c r="AK15" s="0" t="n">
        <v>1</v>
      </c>
    </row>
    <row r="16" customFormat="false" ht="14.6" hidden="false" customHeight="false" outlineLevel="0" collapsed="false">
      <c r="B16" s="216" t="s">
        <v>1446</v>
      </c>
      <c r="C16" s="11" t="n">
        <v>3</v>
      </c>
      <c r="D16" s="11" t="n">
        <v>13</v>
      </c>
      <c r="F16" s="217" t="n">
        <v>43790</v>
      </c>
      <c r="G16" s="218" t="s">
        <v>222</v>
      </c>
      <c r="H16" s="80" t="n">
        <v>2</v>
      </c>
      <c r="I16" s="218" t="s">
        <v>1452</v>
      </c>
      <c r="AH16" s="213" t="s">
        <v>1419</v>
      </c>
      <c r="AI16" s="213" t="s">
        <v>1453</v>
      </c>
      <c r="AJ16" s="0" t="n">
        <v>3</v>
      </c>
      <c r="AK16" s="0" t="n">
        <v>1</v>
      </c>
    </row>
    <row r="17" customFormat="false" ht="14.6" hidden="false" customHeight="false" outlineLevel="0" collapsed="false">
      <c r="B17" s="216" t="s">
        <v>1454</v>
      </c>
      <c r="C17" s="11" t="n">
        <v>1</v>
      </c>
      <c r="D17" s="11" t="n">
        <v>1</v>
      </c>
      <c r="F17" s="217" t="n">
        <v>43816</v>
      </c>
      <c r="G17" s="218" t="s">
        <v>1455</v>
      </c>
      <c r="H17" s="80" t="n">
        <v>2</v>
      </c>
      <c r="I17" s="218" t="s">
        <v>1456</v>
      </c>
      <c r="AH17" s="213" t="s">
        <v>1419</v>
      </c>
      <c r="AI17" s="213" t="s">
        <v>1457</v>
      </c>
      <c r="AJ17" s="0" t="n">
        <v>3</v>
      </c>
      <c r="AK17" s="0" t="n">
        <v>1</v>
      </c>
    </row>
    <row r="18" customFormat="false" ht="14.6" hidden="false" customHeight="false" outlineLevel="0" collapsed="false">
      <c r="B18" s="216" t="s">
        <v>1454</v>
      </c>
      <c r="C18" s="11" t="n">
        <v>2</v>
      </c>
      <c r="D18" s="11" t="n">
        <v>7</v>
      </c>
      <c r="AH18" s="213" t="s">
        <v>1419</v>
      </c>
      <c r="AI18" s="213" t="s">
        <v>1458</v>
      </c>
      <c r="AJ18" s="0" t="n">
        <v>1</v>
      </c>
      <c r="AK18" s="0" t="n">
        <v>1</v>
      </c>
    </row>
    <row r="19" customFormat="false" ht="14.6" hidden="false" customHeight="false" outlineLevel="0" collapsed="false">
      <c r="B19" s="216" t="s">
        <v>1454</v>
      </c>
      <c r="C19" s="11" t="n">
        <v>3</v>
      </c>
      <c r="D19" s="11" t="n">
        <v>6</v>
      </c>
      <c r="AH19" s="213" t="s">
        <v>1419</v>
      </c>
      <c r="AI19" s="213" t="s">
        <v>1459</v>
      </c>
      <c r="AJ19" s="0" t="n">
        <v>3</v>
      </c>
      <c r="AK19" s="0" t="n">
        <v>1</v>
      </c>
    </row>
    <row r="20" customFormat="false" ht="14.6" hidden="false" customHeight="false" outlineLevel="0" collapsed="false">
      <c r="B20" s="216" t="s">
        <v>1460</v>
      </c>
      <c r="C20" s="11" t="n">
        <v>2</v>
      </c>
      <c r="D20" s="11" t="n">
        <v>2</v>
      </c>
      <c r="AH20" s="213" t="s">
        <v>1419</v>
      </c>
      <c r="AI20" s="213" t="s">
        <v>1461</v>
      </c>
      <c r="AJ20" s="0" t="n">
        <v>3</v>
      </c>
      <c r="AK20" s="0" t="n">
        <v>1</v>
      </c>
    </row>
    <row r="21" customFormat="false" ht="14.6" hidden="false" customHeight="false" outlineLevel="0" collapsed="false">
      <c r="B21" s="216" t="s">
        <v>1460</v>
      </c>
      <c r="C21" s="11" t="n">
        <v>3</v>
      </c>
      <c r="D21" s="11" t="n">
        <v>7</v>
      </c>
      <c r="AH21" s="213" t="s">
        <v>1419</v>
      </c>
      <c r="AI21" s="213" t="s">
        <v>1462</v>
      </c>
      <c r="AJ21" s="0" t="n">
        <v>3</v>
      </c>
      <c r="AK21" s="0" t="n">
        <v>1</v>
      </c>
    </row>
    <row r="22" customFormat="false" ht="14.6" hidden="false" customHeight="false" outlineLevel="0" collapsed="false">
      <c r="X22" s="213"/>
      <c r="Y22" s="213"/>
      <c r="Z22" s="213"/>
      <c r="AA22" s="213"/>
      <c r="AB22" s="213"/>
      <c r="AH22" s="213" t="s">
        <v>1432</v>
      </c>
      <c r="AI22" s="213" t="s">
        <v>1463</v>
      </c>
      <c r="AJ22" s="0" t="n">
        <v>3</v>
      </c>
      <c r="AK22" s="0" t="n">
        <v>1</v>
      </c>
    </row>
    <row r="23" customFormat="false" ht="14.6" hidden="false" customHeight="false" outlineLevel="0" collapsed="false">
      <c r="X23" s="213"/>
      <c r="Y23" s="213"/>
      <c r="Z23" s="213"/>
      <c r="AA23" s="213"/>
      <c r="AB23" s="213"/>
      <c r="AH23" s="213" t="s">
        <v>1432</v>
      </c>
      <c r="AI23" s="213" t="s">
        <v>1464</v>
      </c>
      <c r="AJ23" s="0" t="n">
        <v>2</v>
      </c>
      <c r="AK23" s="0" t="n">
        <v>1</v>
      </c>
    </row>
    <row r="24" customFormat="false" ht="14.6" hidden="false" customHeight="false" outlineLevel="0" collapsed="false">
      <c r="X24" s="213"/>
      <c r="Y24" s="213"/>
      <c r="Z24" s="213"/>
      <c r="AA24" s="213"/>
      <c r="AB24" s="213"/>
      <c r="AH24" s="213" t="s">
        <v>1432</v>
      </c>
      <c r="AI24" s="213" t="s">
        <v>1465</v>
      </c>
      <c r="AJ24" s="0" t="n">
        <v>2</v>
      </c>
      <c r="AK24" s="0" t="n">
        <v>1</v>
      </c>
    </row>
    <row r="25" customFormat="false" ht="14.6" hidden="false" customHeight="false" outlineLevel="0" collapsed="false">
      <c r="E25" s="219"/>
      <c r="J25" s="213"/>
      <c r="K25" s="213"/>
      <c r="P25" s="213"/>
      <c r="Q25" s="213"/>
      <c r="R25" s="213"/>
      <c r="X25" s="213"/>
      <c r="Y25" s="213"/>
      <c r="Z25" s="213"/>
      <c r="AA25" s="213"/>
      <c r="AB25" s="213"/>
      <c r="AH25" s="213" t="s">
        <v>1432</v>
      </c>
      <c r="AI25" s="213" t="s">
        <v>179</v>
      </c>
      <c r="AJ25" s="0" t="n">
        <v>2</v>
      </c>
      <c r="AK25" s="0" t="n">
        <v>1</v>
      </c>
    </row>
    <row r="26" customFormat="false" ht="14.6" hidden="false" customHeight="false" outlineLevel="0" collapsed="false">
      <c r="R26" s="213"/>
      <c r="X26" s="213"/>
      <c r="Y26" s="213"/>
      <c r="Z26" s="213"/>
      <c r="AA26" s="213"/>
      <c r="AB26" s="213"/>
      <c r="AH26" s="213" t="s">
        <v>1432</v>
      </c>
      <c r="AI26" s="213" t="s">
        <v>223</v>
      </c>
      <c r="AJ26" s="0" t="n">
        <v>2</v>
      </c>
      <c r="AK26" s="0" t="n">
        <v>1</v>
      </c>
    </row>
    <row r="27" customFormat="false" ht="14.6" hidden="false" customHeight="false" outlineLevel="0" collapsed="false">
      <c r="R27" s="213"/>
      <c r="X27" s="213"/>
      <c r="Y27" s="213"/>
      <c r="Z27" s="213"/>
      <c r="AA27" s="213"/>
      <c r="AB27" s="213"/>
      <c r="AH27" s="213" t="s">
        <v>1432</v>
      </c>
      <c r="AI27" s="213" t="s">
        <v>1466</v>
      </c>
      <c r="AJ27" s="0" t="n">
        <v>2</v>
      </c>
      <c r="AK27" s="0" t="n">
        <v>1</v>
      </c>
    </row>
    <row r="28" customFormat="false" ht="14.6" hidden="false" customHeight="false" outlineLevel="0" collapsed="false">
      <c r="R28" s="213"/>
      <c r="X28" s="213"/>
      <c r="Y28" s="213"/>
      <c r="Z28" s="213"/>
      <c r="AA28" s="213"/>
      <c r="AB28" s="213"/>
      <c r="AH28" s="213" t="s">
        <v>1432</v>
      </c>
      <c r="AI28" s="213" t="s">
        <v>1467</v>
      </c>
      <c r="AJ28" s="0" t="n">
        <v>3</v>
      </c>
      <c r="AK28" s="0" t="n">
        <v>1</v>
      </c>
    </row>
    <row r="29" customFormat="false" ht="14.6" hidden="false" customHeight="false" outlineLevel="0" collapsed="false">
      <c r="R29" s="213"/>
      <c r="X29" s="213"/>
      <c r="Y29" s="213"/>
      <c r="Z29" s="213"/>
      <c r="AA29" s="213"/>
      <c r="AB29" s="213"/>
      <c r="AH29" s="213" t="s">
        <v>1432</v>
      </c>
      <c r="AI29" s="213" t="s">
        <v>1468</v>
      </c>
      <c r="AJ29" s="0" t="n">
        <v>3</v>
      </c>
      <c r="AK29" s="0" t="n">
        <v>1</v>
      </c>
    </row>
    <row r="30" customFormat="false" ht="14.6" hidden="false" customHeight="false" outlineLevel="0" collapsed="false">
      <c r="R30" s="213"/>
      <c r="X30" s="213"/>
      <c r="Y30" s="213"/>
      <c r="Z30" s="213"/>
      <c r="AA30" s="213"/>
      <c r="AB30" s="213"/>
      <c r="AH30" s="213" t="s">
        <v>1432</v>
      </c>
      <c r="AI30" s="213" t="s">
        <v>1469</v>
      </c>
      <c r="AJ30" s="0" t="n">
        <v>3</v>
      </c>
      <c r="AK30" s="0" t="n">
        <v>1</v>
      </c>
    </row>
    <row r="31" customFormat="false" ht="14.6" hidden="false" customHeight="false" outlineLevel="0" collapsed="false">
      <c r="R31" s="213"/>
      <c r="X31" s="213"/>
      <c r="Y31" s="213"/>
      <c r="Z31" s="213"/>
      <c r="AA31" s="213"/>
      <c r="AB31" s="213"/>
      <c r="AH31" s="213" t="s">
        <v>1432</v>
      </c>
      <c r="AI31" s="213" t="s">
        <v>1470</v>
      </c>
      <c r="AJ31" s="0" t="n">
        <v>1</v>
      </c>
      <c r="AK31" s="0" t="n">
        <v>1</v>
      </c>
    </row>
    <row r="32" customFormat="false" ht="14.6" hidden="false" customHeight="false" outlineLevel="0" collapsed="false">
      <c r="R32" s="213"/>
      <c r="X32" s="213"/>
      <c r="Y32" s="213"/>
      <c r="Z32" s="213"/>
      <c r="AA32" s="213"/>
      <c r="AB32" s="213"/>
      <c r="AH32" s="213" t="s">
        <v>1432</v>
      </c>
      <c r="AI32" s="213" t="s">
        <v>1471</v>
      </c>
      <c r="AJ32" s="0" t="n">
        <v>3</v>
      </c>
      <c r="AK32" s="0" t="n">
        <v>1</v>
      </c>
    </row>
    <row r="33" customFormat="false" ht="14.6" hidden="false" customHeight="false" outlineLevel="0" collapsed="false">
      <c r="F33" s="219"/>
      <c r="G33" s="219"/>
      <c r="H33" s="213"/>
      <c r="I33" s="213"/>
      <c r="R33" s="213"/>
      <c r="X33" s="213"/>
      <c r="Y33" s="213"/>
      <c r="Z33" s="213"/>
      <c r="AA33" s="213"/>
      <c r="AB33" s="213"/>
      <c r="AH33" s="213" t="s">
        <v>1432</v>
      </c>
      <c r="AI33" s="213" t="s">
        <v>1472</v>
      </c>
      <c r="AJ33" s="0" t="n">
        <v>3</v>
      </c>
      <c r="AK33" s="0" t="n">
        <v>1</v>
      </c>
    </row>
    <row r="34" customFormat="false" ht="14.6" hidden="false" customHeight="false" outlineLevel="0" collapsed="false">
      <c r="B34" s="213"/>
      <c r="C34" s="213"/>
      <c r="R34" s="213"/>
      <c r="X34" s="213"/>
      <c r="Y34" s="213"/>
      <c r="Z34" s="213"/>
      <c r="AA34" s="213"/>
      <c r="AB34" s="213"/>
      <c r="AH34" s="213" t="s">
        <v>1432</v>
      </c>
      <c r="AI34" s="213" t="s">
        <v>1473</v>
      </c>
      <c r="AJ34" s="0" t="n">
        <v>3</v>
      </c>
      <c r="AK34" s="0" t="n">
        <v>1</v>
      </c>
    </row>
    <row r="35" customFormat="false" ht="14.6" hidden="false" customHeight="false" outlineLevel="0" collapsed="false">
      <c r="R35" s="213"/>
      <c r="X35" s="213"/>
      <c r="Y35" s="213"/>
      <c r="Z35" s="213"/>
      <c r="AA35" s="213"/>
      <c r="AB35" s="213"/>
      <c r="AH35" s="213" t="s">
        <v>1432</v>
      </c>
      <c r="AI35" s="213" t="s">
        <v>1474</v>
      </c>
      <c r="AJ35" s="0" t="n">
        <v>2</v>
      </c>
      <c r="AK35" s="0" t="n">
        <v>1</v>
      </c>
    </row>
    <row r="36" customFormat="false" ht="14.6" hidden="false" customHeight="false" outlineLevel="0" collapsed="false">
      <c r="R36" s="213"/>
      <c r="X36" s="213"/>
      <c r="Y36" s="213"/>
      <c r="Z36" s="213"/>
      <c r="AA36" s="213"/>
      <c r="AB36" s="213"/>
      <c r="AH36" s="213" t="s">
        <v>1432</v>
      </c>
      <c r="AI36" s="213" t="s">
        <v>222</v>
      </c>
      <c r="AJ36" s="0" t="n">
        <v>2</v>
      </c>
      <c r="AK36" s="0" t="n">
        <v>3</v>
      </c>
    </row>
    <row r="37" customFormat="false" ht="14.6" hidden="false" customHeight="false" outlineLevel="0" collapsed="false">
      <c r="R37" s="213"/>
      <c r="X37" s="213"/>
      <c r="Y37" s="213"/>
      <c r="Z37" s="213"/>
      <c r="AA37" s="213"/>
      <c r="AB37" s="213"/>
      <c r="AH37" s="213" t="s">
        <v>1432</v>
      </c>
      <c r="AI37" s="213" t="s">
        <v>1475</v>
      </c>
      <c r="AJ37" s="0" t="n">
        <v>2</v>
      </c>
      <c r="AK37" s="0" t="n">
        <v>1</v>
      </c>
    </row>
    <row r="38" customFormat="false" ht="14.6" hidden="false" customHeight="false" outlineLevel="0" collapsed="false">
      <c r="R38" s="213"/>
      <c r="X38" s="213"/>
      <c r="Y38" s="213"/>
      <c r="Z38" s="213"/>
      <c r="AA38" s="213"/>
      <c r="AB38" s="213"/>
      <c r="AH38" s="213" t="s">
        <v>1432</v>
      </c>
      <c r="AI38" s="213" t="s">
        <v>1476</v>
      </c>
      <c r="AJ38" s="0" t="n">
        <v>3</v>
      </c>
      <c r="AK38" s="0" t="n">
        <v>1</v>
      </c>
    </row>
    <row r="39" customFormat="false" ht="14.6" hidden="false" customHeight="false" outlineLevel="0" collapsed="false">
      <c r="R39" s="213"/>
      <c r="X39" s="213"/>
      <c r="Y39" s="213"/>
      <c r="Z39" s="213"/>
      <c r="AA39" s="213"/>
      <c r="AB39" s="213"/>
      <c r="AH39" s="213" t="s">
        <v>1432</v>
      </c>
      <c r="AI39" s="213" t="s">
        <v>1477</v>
      </c>
      <c r="AJ39" s="0" t="n">
        <v>3</v>
      </c>
      <c r="AK39" s="0" t="n">
        <v>1</v>
      </c>
    </row>
    <row r="40" customFormat="false" ht="14.6" hidden="false" customHeight="false" outlineLevel="0" collapsed="false">
      <c r="R40" s="213"/>
      <c r="X40" s="213"/>
      <c r="Y40" s="213"/>
      <c r="Z40" s="213"/>
      <c r="AA40" s="213"/>
      <c r="AB40" s="213"/>
      <c r="AH40" s="213" t="s">
        <v>1432</v>
      </c>
      <c r="AI40" s="213" t="s">
        <v>1478</v>
      </c>
      <c r="AJ40" s="0" t="n">
        <v>2</v>
      </c>
      <c r="AK40" s="0" t="n">
        <v>1</v>
      </c>
    </row>
    <row r="41" customFormat="false" ht="14.6" hidden="false" customHeight="false" outlineLevel="0" collapsed="false">
      <c r="R41" s="213"/>
      <c r="X41" s="213"/>
      <c r="Y41" s="213"/>
      <c r="Z41" s="213"/>
      <c r="AA41" s="213"/>
      <c r="AB41" s="213"/>
      <c r="AH41" s="213" t="s">
        <v>1432</v>
      </c>
      <c r="AI41" s="213" t="s">
        <v>1479</v>
      </c>
      <c r="AJ41" s="0" t="n">
        <v>3</v>
      </c>
      <c r="AK41" s="0" t="n">
        <v>1</v>
      </c>
    </row>
    <row r="42" customFormat="false" ht="14.6" hidden="false" customHeight="false" outlineLevel="0" collapsed="false">
      <c r="R42" s="213"/>
      <c r="X42" s="213"/>
      <c r="Y42" s="213"/>
      <c r="Z42" s="213"/>
      <c r="AA42" s="213"/>
      <c r="AB42" s="213"/>
      <c r="AH42" s="213" t="s">
        <v>1432</v>
      </c>
      <c r="AI42" s="213" t="s">
        <v>1451</v>
      </c>
      <c r="AJ42" s="0" t="n">
        <v>2</v>
      </c>
      <c r="AK42" s="0" t="n">
        <v>2</v>
      </c>
    </row>
    <row r="43" customFormat="false" ht="14.6" hidden="false" customHeight="false" outlineLevel="0" collapsed="false">
      <c r="R43" s="213"/>
      <c r="X43" s="213"/>
      <c r="Y43" s="213"/>
      <c r="Z43" s="213"/>
      <c r="AA43" s="213"/>
      <c r="AB43" s="213"/>
      <c r="AH43" s="213" t="s">
        <v>1440</v>
      </c>
      <c r="AI43" s="213" t="s">
        <v>1295</v>
      </c>
      <c r="AJ43" s="0" t="n">
        <v>2</v>
      </c>
      <c r="AK43" s="0" t="n">
        <v>1</v>
      </c>
    </row>
    <row r="44" customFormat="false" ht="14.6" hidden="false" customHeight="false" outlineLevel="0" collapsed="false">
      <c r="R44" s="213"/>
      <c r="X44" s="213"/>
      <c r="Y44" s="213"/>
      <c r="Z44" s="213"/>
      <c r="AA44" s="213"/>
      <c r="AB44" s="213"/>
      <c r="AH44" s="213" t="s">
        <v>1440</v>
      </c>
      <c r="AI44" s="213" t="s">
        <v>1480</v>
      </c>
      <c r="AJ44" s="0" t="n">
        <v>3</v>
      </c>
      <c r="AK44" s="0" t="n">
        <v>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s>
</worksheet>
</file>

<file path=xl/worksheets/sheet31.xml><?xml version="1.0" encoding="utf-8"?>
<worksheet xmlns="http://schemas.openxmlformats.org/spreadsheetml/2006/main" xmlns:r="http://schemas.openxmlformats.org/officeDocument/2006/relationships">
  <sheetPr filterMode="false">
    <tabColor rgb="FFFF0000"/>
    <pageSetUpPr fitToPage="false"/>
  </sheetPr>
  <dimension ref="B3:R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2" activeCellId="0" sqref="D22"/>
    </sheetView>
  </sheetViews>
  <sheetFormatPr defaultRowHeight="14.6" zeroHeight="false" outlineLevelRow="0" outlineLevelCol="0"/>
  <cols>
    <col collapsed="false" customWidth="true" hidden="false" outlineLevel="0" max="1" min="1" style="0" width="8.75"/>
    <col collapsed="false" customWidth="true" hidden="false" outlineLevel="0" max="2" min="2" style="0" width="15.84"/>
    <col collapsed="false" customWidth="true" hidden="false" outlineLevel="0" max="3" min="3" style="0" width="46.77"/>
    <col collapsed="false" customWidth="true" hidden="false" outlineLevel="0" max="4" min="4" style="0" width="10.08"/>
    <col collapsed="false" customWidth="true" hidden="false" outlineLevel="0" max="7" min="5" style="0" width="15.15"/>
    <col collapsed="false" customWidth="true" hidden="false" outlineLevel="0" max="8" min="8" style="0" width="77.46"/>
    <col collapsed="false" customWidth="true" hidden="false" outlineLevel="0" max="11" min="9" style="0" width="80.61"/>
    <col collapsed="false" customWidth="true" hidden="false" outlineLevel="0" max="12" min="12" style="0" width="12.3"/>
    <col collapsed="false" customWidth="true" hidden="false" outlineLevel="0" max="13" min="13" style="0" width="10.69"/>
    <col collapsed="false" customWidth="true" hidden="false" outlineLevel="0" max="14" min="14" style="0" width="12.61"/>
    <col collapsed="false" customWidth="true" hidden="false" outlineLevel="0" max="15" min="15" style="0" width="11.93"/>
    <col collapsed="false" customWidth="true" hidden="false" outlineLevel="0" max="16" min="16" style="0" width="10.46"/>
    <col collapsed="false" customWidth="true" hidden="false" outlineLevel="0" max="17" min="17" style="0" width="8.84"/>
    <col collapsed="false" customWidth="true" hidden="false" outlineLevel="0" max="18" min="18" style="0" width="25.54"/>
    <col collapsed="false" customWidth="true" hidden="false" outlineLevel="0" max="1025" min="19" style="0" width="8.75"/>
  </cols>
  <sheetData>
    <row r="3" customFormat="false" ht="14.6" hidden="false" customHeight="false" outlineLevel="0" collapsed="false">
      <c r="B3" s="92" t="s">
        <v>1481</v>
      </c>
      <c r="C3" s="213" t="s">
        <v>1415</v>
      </c>
      <c r="D3" s="213" t="s">
        <v>1416</v>
      </c>
      <c r="E3" s="92" t="s">
        <v>1422</v>
      </c>
      <c r="F3" s="220" t="s">
        <v>1482</v>
      </c>
      <c r="G3" s="220" t="s">
        <v>1483</v>
      </c>
      <c r="H3" s="220" t="s">
        <v>1484</v>
      </c>
      <c r="I3" s="213" t="s">
        <v>1485</v>
      </c>
      <c r="J3" s="213" t="s">
        <v>1486</v>
      </c>
      <c r="K3" s="213" t="s">
        <v>1487</v>
      </c>
      <c r="L3" s="213" t="s">
        <v>1488</v>
      </c>
      <c r="M3" s="92" t="s">
        <v>1489</v>
      </c>
      <c r="N3" s="92" t="s">
        <v>1490</v>
      </c>
      <c r="O3" s="92" t="s">
        <v>1491</v>
      </c>
      <c r="P3" s="92" t="s">
        <v>1492</v>
      </c>
      <c r="Q3" s="213" t="s">
        <v>1493</v>
      </c>
      <c r="R3" s="213" t="s">
        <v>1494</v>
      </c>
    </row>
    <row r="4" customFormat="false" ht="14.6" hidden="false" customHeight="false" outlineLevel="0" collapsed="false">
      <c r="B4" s="213" t="s">
        <v>1495</v>
      </c>
      <c r="C4" s="213" t="s">
        <v>1451</v>
      </c>
      <c r="D4" s="213" t="n">
        <v>2</v>
      </c>
      <c r="E4" s="219" t="n">
        <v>43678</v>
      </c>
      <c r="F4" s="219" t="n">
        <v>43676.4166666667</v>
      </c>
      <c r="G4" s="219" t="n">
        <v>43676.4333333333</v>
      </c>
      <c r="H4" s="213" t="s">
        <v>1496</v>
      </c>
      <c r="I4" s="221" t="s">
        <v>1497</v>
      </c>
      <c r="J4" s="213" t="s">
        <v>1498</v>
      </c>
      <c r="K4" s="213" t="s">
        <v>1499</v>
      </c>
      <c r="L4" s="213" t="n">
        <f aca="false">TRUE()</f>
        <v>1</v>
      </c>
      <c r="M4" s="0" t="n">
        <f aca="false">TRUE()</f>
        <v>1</v>
      </c>
      <c r="N4" s="0" t="n">
        <f aca="false">TRUE()</f>
        <v>1</v>
      </c>
      <c r="O4" s="0" t="n">
        <f aca="false">TRUE()</f>
        <v>1</v>
      </c>
      <c r="P4" s="213" t="s">
        <v>1500</v>
      </c>
      <c r="Q4" s="213" t="s">
        <v>1419</v>
      </c>
      <c r="R4" s="213" t="s">
        <v>1501</v>
      </c>
    </row>
    <row r="5" customFormat="false" ht="14.6" hidden="false" customHeight="false" outlineLevel="0" collapsed="false">
      <c r="B5" s="213" t="s">
        <v>1502</v>
      </c>
      <c r="C5" s="213" t="s">
        <v>222</v>
      </c>
      <c r="D5" s="213" t="n">
        <v>1</v>
      </c>
      <c r="E5" s="219" t="n">
        <v>43678</v>
      </c>
      <c r="F5" s="219" t="n">
        <v>43676.4791666667</v>
      </c>
      <c r="G5" s="219" t="n">
        <v>43676.7604166667</v>
      </c>
      <c r="H5" s="213" t="s">
        <v>1503</v>
      </c>
      <c r="I5" s="213" t="s">
        <v>1504</v>
      </c>
      <c r="J5" s="221" t="s">
        <v>1505</v>
      </c>
      <c r="K5" s="221" t="s">
        <v>1506</v>
      </c>
      <c r="L5" s="213" t="n">
        <f aca="false">FALSE()</f>
        <v>0</v>
      </c>
      <c r="M5" s="0" t="n">
        <f aca="false">TRUE()</f>
        <v>1</v>
      </c>
      <c r="N5" s="0" t="n">
        <f aca="false">TRUE()</f>
        <v>1</v>
      </c>
      <c r="O5" s="0" t="n">
        <f aca="false">TRUE()</f>
        <v>1</v>
      </c>
      <c r="P5" s="213" t="s">
        <v>1426</v>
      </c>
      <c r="Q5" s="213" t="s">
        <v>1419</v>
      </c>
      <c r="R5" s="213" t="s">
        <v>1507</v>
      </c>
    </row>
    <row r="6" customFormat="false" ht="14.6" hidden="false" customHeight="false" outlineLevel="0" collapsed="false">
      <c r="B6" s="213" t="s">
        <v>1508</v>
      </c>
      <c r="C6" s="213" t="s">
        <v>1445</v>
      </c>
      <c r="D6" s="213" t="n">
        <v>2</v>
      </c>
      <c r="E6" s="219" t="n">
        <v>43679.4375</v>
      </c>
      <c r="F6" s="219" t="n">
        <v>43677.5868055556</v>
      </c>
      <c r="G6" s="219" t="n">
        <v>43677.6951388889</v>
      </c>
      <c r="H6" s="213" t="s">
        <v>1509</v>
      </c>
      <c r="I6" s="221" t="s">
        <v>1510</v>
      </c>
      <c r="J6" s="213" t="s">
        <v>1511</v>
      </c>
      <c r="K6" s="213" t="s">
        <v>1512</v>
      </c>
      <c r="L6" s="213" t="n">
        <f aca="false">FALSE()</f>
        <v>0</v>
      </c>
      <c r="M6" s="0" t="n">
        <f aca="false">FALSE()</f>
        <v>0</v>
      </c>
      <c r="N6" s="0" t="n">
        <f aca="false">TRUE()</f>
        <v>1</v>
      </c>
      <c r="O6" s="0" t="n">
        <f aca="false">TRUE()</f>
        <v>1</v>
      </c>
      <c r="P6" s="213" t="s">
        <v>1513</v>
      </c>
      <c r="Q6" s="213" t="s">
        <v>1419</v>
      </c>
      <c r="R6" s="213" t="s">
        <v>1514</v>
      </c>
    </row>
    <row r="7" customFormat="false" ht="14.6" hidden="false" customHeight="false" outlineLevel="0" collapsed="false">
      <c r="B7" s="213" t="s">
        <v>1515</v>
      </c>
      <c r="C7" s="213" t="s">
        <v>1445</v>
      </c>
      <c r="D7" s="213" t="n">
        <v>2</v>
      </c>
      <c r="E7" s="219" t="n">
        <v>43682.4375</v>
      </c>
      <c r="F7" s="219" t="n">
        <v>43679.525</v>
      </c>
      <c r="G7" s="219" t="n">
        <v>43679.5604166667</v>
      </c>
      <c r="H7" s="213" t="s">
        <v>1516</v>
      </c>
      <c r="I7" s="221" t="s">
        <v>1510</v>
      </c>
      <c r="J7" s="213" t="s">
        <v>1517</v>
      </c>
      <c r="K7" s="213" t="s">
        <v>1518</v>
      </c>
      <c r="L7" s="213" t="n">
        <f aca="false">FALSE()</f>
        <v>0</v>
      </c>
      <c r="M7" s="0" t="n">
        <f aca="false">FALSE()</f>
        <v>0</v>
      </c>
      <c r="N7" s="0" t="n">
        <f aca="false">TRUE()</f>
        <v>1</v>
      </c>
      <c r="O7" s="0" t="n">
        <f aca="false">TRUE()</f>
        <v>1</v>
      </c>
      <c r="P7" s="213" t="s">
        <v>1519</v>
      </c>
      <c r="Q7" s="213" t="s">
        <v>1419</v>
      </c>
      <c r="R7" s="213" t="s">
        <v>1514</v>
      </c>
    </row>
    <row r="8" customFormat="false" ht="14.6" hidden="false" customHeight="false" outlineLevel="0" collapsed="false">
      <c r="B8" s="213" t="s">
        <v>1520</v>
      </c>
      <c r="C8" s="213" t="s">
        <v>223</v>
      </c>
      <c r="D8" s="213" t="n">
        <v>2</v>
      </c>
      <c r="E8" s="219" t="n">
        <v>43684.4375</v>
      </c>
      <c r="F8" s="219" t="n">
        <v>43683.4048611111</v>
      </c>
      <c r="G8" s="219" t="n">
        <v>43683.4722222222</v>
      </c>
      <c r="H8" s="213" t="s">
        <v>1521</v>
      </c>
      <c r="I8" s="213" t="s">
        <v>1522</v>
      </c>
      <c r="J8" s="213" t="s">
        <v>1523</v>
      </c>
      <c r="K8" s="213" t="s">
        <v>1524</v>
      </c>
      <c r="L8" s="213" t="n">
        <f aca="false">FALSE()</f>
        <v>0</v>
      </c>
      <c r="M8" s="0" t="n">
        <f aca="false">FALSE()</f>
        <v>0</v>
      </c>
      <c r="N8" s="0" t="n">
        <f aca="false">TRUE()</f>
        <v>1</v>
      </c>
      <c r="O8" s="0" t="n">
        <f aca="false">FALSE()</f>
        <v>0</v>
      </c>
      <c r="P8" s="213" t="s">
        <v>1525</v>
      </c>
      <c r="Q8" s="213" t="s">
        <v>1419</v>
      </c>
      <c r="R8" s="213" t="s">
        <v>1507</v>
      </c>
    </row>
    <row r="9" customFormat="false" ht="14.6" hidden="false" customHeight="false" outlineLevel="0" collapsed="false">
      <c r="B9" s="213" t="s">
        <v>1526</v>
      </c>
      <c r="C9" s="213" t="s">
        <v>1420</v>
      </c>
      <c r="D9" s="213" t="n">
        <v>2</v>
      </c>
      <c r="E9" s="219" t="n">
        <v>43686.4583333333</v>
      </c>
      <c r="F9" s="219" t="n">
        <v>43685.7083333333</v>
      </c>
      <c r="G9" s="219" t="n">
        <v>43685.7777777778</v>
      </c>
      <c r="H9" s="213" t="s">
        <v>1527</v>
      </c>
      <c r="I9" s="221" t="s">
        <v>1528</v>
      </c>
      <c r="J9" s="213" t="s">
        <v>1529</v>
      </c>
      <c r="K9" s="213" t="s">
        <v>1530</v>
      </c>
      <c r="L9" s="213" t="n">
        <f aca="false">TRUE()</f>
        <v>1</v>
      </c>
      <c r="M9" s="0" t="n">
        <f aca="false">TRUE()</f>
        <v>1</v>
      </c>
      <c r="N9" s="0" t="n">
        <f aca="false">TRUE()</f>
        <v>1</v>
      </c>
      <c r="O9" s="0" t="n">
        <f aca="false">TRUE()</f>
        <v>1</v>
      </c>
      <c r="P9" s="213" t="s">
        <v>1531</v>
      </c>
      <c r="Q9" s="213" t="s">
        <v>1419</v>
      </c>
      <c r="R9" s="213" t="s">
        <v>1532</v>
      </c>
    </row>
    <row r="10" customFormat="false" ht="14.6" hidden="false" customHeight="false" outlineLevel="0" collapsed="false">
      <c r="B10" s="213" t="s">
        <v>1533</v>
      </c>
      <c r="C10" s="213" t="s">
        <v>1429</v>
      </c>
      <c r="D10" s="213" t="n">
        <v>2</v>
      </c>
      <c r="E10" s="219" t="n">
        <v>43690.4375</v>
      </c>
      <c r="F10" s="219" t="n">
        <v>43689.3416666667</v>
      </c>
      <c r="G10" s="219" t="n">
        <v>43689.4236111111</v>
      </c>
      <c r="H10" s="213" t="s">
        <v>1534</v>
      </c>
      <c r="I10" s="221" t="s">
        <v>1535</v>
      </c>
      <c r="J10" s="213" t="s">
        <v>1536</v>
      </c>
      <c r="K10" s="213" t="s">
        <v>1537</v>
      </c>
      <c r="L10" s="213" t="n">
        <f aca="false">TRUE()</f>
        <v>1</v>
      </c>
      <c r="M10" s="0" t="n">
        <f aca="false">TRUE()</f>
        <v>1</v>
      </c>
      <c r="N10" s="0" t="n">
        <f aca="false">TRUE()</f>
        <v>1</v>
      </c>
      <c r="O10" s="0" t="n">
        <f aca="false">TRUE()</f>
        <v>1</v>
      </c>
      <c r="P10" s="213" t="s">
        <v>1538</v>
      </c>
      <c r="Q10" s="213" t="s">
        <v>1419</v>
      </c>
      <c r="R10" s="213" t="s">
        <v>1539</v>
      </c>
    </row>
    <row r="11" customFormat="false" ht="14.6" hidden="false" customHeight="false" outlineLevel="0" collapsed="false">
      <c r="B11" s="213" t="s">
        <v>1540</v>
      </c>
      <c r="C11" s="213" t="s">
        <v>1425</v>
      </c>
      <c r="D11" s="213" t="n">
        <v>2</v>
      </c>
      <c r="E11" s="219" t="n">
        <v>43700.4375</v>
      </c>
      <c r="F11" s="219" t="n">
        <v>43699.1875</v>
      </c>
      <c r="G11" s="219" t="n">
        <v>43699.4180555556</v>
      </c>
      <c r="H11" s="213" t="s">
        <v>1541</v>
      </c>
      <c r="I11" s="213" t="s">
        <v>1542</v>
      </c>
      <c r="J11" s="213" t="s">
        <v>1543</v>
      </c>
      <c r="K11" s="213" t="s">
        <v>1544</v>
      </c>
      <c r="L11" s="213" t="n">
        <f aca="false">FALSE()</f>
        <v>0</v>
      </c>
      <c r="M11" s="0" t="n">
        <f aca="false">TRUE()</f>
        <v>1</v>
      </c>
      <c r="N11" s="0" t="n">
        <f aca="false">TRUE()</f>
        <v>1</v>
      </c>
      <c r="O11" s="0" t="n">
        <f aca="false">TRUE()</f>
        <v>1</v>
      </c>
      <c r="P11" s="213" t="s">
        <v>1545</v>
      </c>
      <c r="Q11" s="213" t="s">
        <v>1419</v>
      </c>
      <c r="R11" s="213" t="s">
        <v>1507</v>
      </c>
    </row>
    <row r="12" customFormat="false" ht="14.6" hidden="false" customHeight="false" outlineLevel="0" collapsed="false">
      <c r="B12" s="213" t="s">
        <v>1546</v>
      </c>
      <c r="C12" s="213" t="s">
        <v>1458</v>
      </c>
      <c r="D12" s="213" t="n">
        <v>1</v>
      </c>
      <c r="E12" s="219" t="n">
        <v>43703.4652777778</v>
      </c>
      <c r="F12" s="219" t="n">
        <v>43700.2777777778</v>
      </c>
      <c r="G12" s="219" t="n">
        <v>43700.3784722222</v>
      </c>
      <c r="H12" s="213" t="s">
        <v>1547</v>
      </c>
      <c r="I12" s="213" t="s">
        <v>1548</v>
      </c>
      <c r="J12" s="213" t="s">
        <v>1549</v>
      </c>
      <c r="K12" s="213" t="s">
        <v>1550</v>
      </c>
      <c r="L12" s="213" t="n">
        <f aca="false">TRUE()</f>
        <v>1</v>
      </c>
      <c r="M12" s="0" t="n">
        <f aca="false">FALSE()</f>
        <v>0</v>
      </c>
      <c r="N12" s="0" t="n">
        <f aca="false">TRUE()</f>
        <v>1</v>
      </c>
      <c r="O12" s="0" t="n">
        <f aca="false">TRUE()</f>
        <v>1</v>
      </c>
      <c r="P12" s="213" t="s">
        <v>1551</v>
      </c>
      <c r="Q12" s="213" t="s">
        <v>1419</v>
      </c>
      <c r="R12" s="213" t="s">
        <v>1539</v>
      </c>
    </row>
    <row r="13" customFormat="false" ht="14.6" hidden="false" customHeight="false" outlineLevel="0" collapsed="false">
      <c r="B13" s="213" t="s">
        <v>1552</v>
      </c>
      <c r="C13" s="213" t="s">
        <v>1478</v>
      </c>
      <c r="D13" s="213" t="n">
        <v>2</v>
      </c>
      <c r="E13" s="219" t="n">
        <v>43712</v>
      </c>
      <c r="F13" s="219" t="n">
        <v>43707.4166666667</v>
      </c>
      <c r="G13" s="219" t="n">
        <v>43707.5416666667</v>
      </c>
      <c r="H13" s="213" t="s">
        <v>1553</v>
      </c>
      <c r="I13" s="213" t="s">
        <v>1554</v>
      </c>
      <c r="J13" s="213" t="s">
        <v>1555</v>
      </c>
      <c r="K13" s="213" t="s">
        <v>1556</v>
      </c>
      <c r="L13" s="213" t="n">
        <f aca="false">TRUE()</f>
        <v>1</v>
      </c>
      <c r="M13" s="0" t="n">
        <f aca="false">TRUE()</f>
        <v>1</v>
      </c>
      <c r="N13" s="0" t="n">
        <f aca="false">TRUE()</f>
        <v>1</v>
      </c>
      <c r="O13" s="0" t="n">
        <f aca="false">TRUE()</f>
        <v>1</v>
      </c>
      <c r="P13" s="213" t="s">
        <v>1557</v>
      </c>
      <c r="Q13" s="213" t="s">
        <v>1432</v>
      </c>
      <c r="R13" s="213" t="s">
        <v>1539</v>
      </c>
    </row>
    <row r="14" customFormat="false" ht="14.6" hidden="false" customHeight="false" outlineLevel="0" collapsed="false">
      <c r="B14" s="213" t="s">
        <v>1558</v>
      </c>
      <c r="C14" s="213" t="s">
        <v>222</v>
      </c>
      <c r="D14" s="213" t="n">
        <v>2</v>
      </c>
      <c r="E14" s="219" t="n">
        <v>43713</v>
      </c>
      <c r="F14" s="219" t="n">
        <v>43707.95</v>
      </c>
      <c r="G14" s="219" t="n">
        <v>43709.8229166667</v>
      </c>
      <c r="H14" s="213" t="s">
        <v>1559</v>
      </c>
      <c r="I14" s="213" t="s">
        <v>1560</v>
      </c>
      <c r="J14" s="213" t="s">
        <v>1561</v>
      </c>
      <c r="K14" s="213" t="s">
        <v>1562</v>
      </c>
      <c r="L14" s="213" t="n">
        <f aca="false">FALSE()</f>
        <v>0</v>
      </c>
      <c r="M14" s="0" t="n">
        <f aca="false">TRUE()</f>
        <v>1</v>
      </c>
      <c r="N14" s="0" t="n">
        <f aca="false">TRUE()</f>
        <v>1</v>
      </c>
      <c r="O14" s="0" t="n">
        <f aca="false">TRUE()</f>
        <v>1</v>
      </c>
      <c r="P14" s="213" t="s">
        <v>1428</v>
      </c>
      <c r="Q14" s="213" t="s">
        <v>1432</v>
      </c>
      <c r="R14" s="213" t="s">
        <v>1507</v>
      </c>
    </row>
    <row r="15" customFormat="false" ht="14.6" hidden="false" customHeight="false" outlineLevel="0" collapsed="false">
      <c r="B15" s="213" t="s">
        <v>1563</v>
      </c>
      <c r="C15" s="213" t="s">
        <v>223</v>
      </c>
      <c r="D15" s="213" t="n">
        <v>2</v>
      </c>
      <c r="E15" s="219" t="n">
        <v>43712</v>
      </c>
      <c r="F15" s="219" t="n">
        <v>43710.2534722222</v>
      </c>
      <c r="G15" s="219" t="n">
        <v>43710.4756944444</v>
      </c>
      <c r="H15" s="213" t="s">
        <v>1564</v>
      </c>
      <c r="I15" s="213" t="s">
        <v>1565</v>
      </c>
      <c r="J15" s="221" t="s">
        <v>1566</v>
      </c>
      <c r="K15" s="213" t="s">
        <v>1567</v>
      </c>
      <c r="L15" s="213" t="n">
        <f aca="false">FALSE()</f>
        <v>0</v>
      </c>
      <c r="M15" s="0" t="n">
        <f aca="false">FALSE()</f>
        <v>0</v>
      </c>
      <c r="N15" s="0" t="n">
        <f aca="false">TRUE()</f>
        <v>1</v>
      </c>
      <c r="O15" s="0" t="n">
        <f aca="false">FALSE()</f>
        <v>0</v>
      </c>
      <c r="P15" s="213" t="s">
        <v>1568</v>
      </c>
      <c r="Q15" s="213" t="s">
        <v>1432</v>
      </c>
      <c r="R15" s="213" t="s">
        <v>1507</v>
      </c>
    </row>
    <row r="16" customFormat="false" ht="14.6" hidden="false" customHeight="false" outlineLevel="0" collapsed="false">
      <c r="B16" s="213" t="s">
        <v>1569</v>
      </c>
      <c r="C16" s="213" t="s">
        <v>1465</v>
      </c>
      <c r="D16" s="213" t="n">
        <v>2</v>
      </c>
      <c r="E16" s="219" t="n">
        <v>43714</v>
      </c>
      <c r="F16" s="219" t="n">
        <v>43714.325</v>
      </c>
      <c r="G16" s="219" t="n">
        <v>43714.4409722222</v>
      </c>
      <c r="H16" s="213" t="s">
        <v>1570</v>
      </c>
      <c r="I16" s="213" t="s">
        <v>1571</v>
      </c>
      <c r="J16" s="213" t="s">
        <v>1572</v>
      </c>
      <c r="K16" s="213" t="s">
        <v>1573</v>
      </c>
      <c r="L16" s="213" t="n">
        <f aca="false">FALSE()</f>
        <v>0</v>
      </c>
      <c r="M16" s="0" t="n">
        <f aca="false">FALSE()</f>
        <v>0</v>
      </c>
      <c r="N16" s="0" t="n">
        <f aca="false">TRUE()</f>
        <v>1</v>
      </c>
      <c r="O16" s="0" t="n">
        <f aca="false">TRUE()</f>
        <v>1</v>
      </c>
      <c r="P16" s="213" t="s">
        <v>1574</v>
      </c>
      <c r="Q16" s="213" t="s">
        <v>1432</v>
      </c>
      <c r="R16" s="213" t="s">
        <v>1514</v>
      </c>
    </row>
    <row r="17" customFormat="false" ht="14.6" hidden="false" customHeight="false" outlineLevel="0" collapsed="false">
      <c r="B17" s="213" t="s">
        <v>1575</v>
      </c>
      <c r="C17" s="213" t="s">
        <v>1464</v>
      </c>
      <c r="D17" s="213" t="n">
        <v>2</v>
      </c>
      <c r="E17" s="219" t="n">
        <v>43718</v>
      </c>
      <c r="F17" s="219" t="n">
        <v>43718.3923611111</v>
      </c>
      <c r="G17" s="219" t="n">
        <v>43718.4291666667</v>
      </c>
      <c r="H17" s="213" t="s">
        <v>1576</v>
      </c>
      <c r="I17" s="221" t="s">
        <v>1577</v>
      </c>
      <c r="J17" s="213" t="s">
        <v>1578</v>
      </c>
      <c r="K17" s="213" t="s">
        <v>1579</v>
      </c>
      <c r="L17" s="213" t="n">
        <f aca="false">FALSE()</f>
        <v>0</v>
      </c>
      <c r="M17" s="0" t="n">
        <f aca="false">FALSE()</f>
        <v>0</v>
      </c>
      <c r="N17" s="0" t="n">
        <f aca="false">TRUE()</f>
        <v>1</v>
      </c>
      <c r="O17" s="0" t="n">
        <f aca="false">TRUE()</f>
        <v>1</v>
      </c>
      <c r="P17" s="213" t="s">
        <v>1580</v>
      </c>
      <c r="Q17" s="213" t="s">
        <v>1432</v>
      </c>
      <c r="R17" s="213" t="s">
        <v>1532</v>
      </c>
    </row>
    <row r="18" customFormat="false" ht="14.6" hidden="false" customHeight="false" outlineLevel="0" collapsed="false">
      <c r="B18" s="213" t="s">
        <v>1581</v>
      </c>
      <c r="C18" s="213" t="s">
        <v>1466</v>
      </c>
      <c r="D18" s="213" t="n">
        <v>2</v>
      </c>
      <c r="E18" s="219" t="n">
        <v>43721</v>
      </c>
      <c r="F18" s="219" t="n">
        <v>43721.3958333333</v>
      </c>
      <c r="G18" s="219" t="n">
        <v>43721.4583333333</v>
      </c>
      <c r="H18" s="213" t="s">
        <v>1582</v>
      </c>
      <c r="I18" s="221" t="s">
        <v>1583</v>
      </c>
      <c r="J18" s="213" t="s">
        <v>1584</v>
      </c>
      <c r="K18" s="213" t="s">
        <v>1585</v>
      </c>
      <c r="L18" s="213" t="n">
        <f aca="false">FALSE()</f>
        <v>0</v>
      </c>
      <c r="M18" s="0" t="n">
        <f aca="false">TRUE()</f>
        <v>1</v>
      </c>
      <c r="N18" s="0" t="n">
        <f aca="false">TRUE()</f>
        <v>1</v>
      </c>
      <c r="O18" s="0" t="n">
        <f aca="false">TRUE()</f>
        <v>1</v>
      </c>
      <c r="P18" s="213" t="s">
        <v>1452</v>
      </c>
      <c r="Q18" s="213" t="s">
        <v>1432</v>
      </c>
      <c r="R18" s="213" t="s">
        <v>1514</v>
      </c>
    </row>
    <row r="19" customFormat="false" ht="14.6" hidden="false" customHeight="false" outlineLevel="0" collapsed="false">
      <c r="B19" s="213" t="s">
        <v>1586</v>
      </c>
      <c r="C19" s="213" t="s">
        <v>1474</v>
      </c>
      <c r="D19" s="213" t="n">
        <v>2</v>
      </c>
      <c r="E19" s="219" t="n">
        <v>43725</v>
      </c>
      <c r="F19" s="219" t="n">
        <v>43723.7916666667</v>
      </c>
      <c r="G19" s="219" t="n">
        <v>43723.9263888889</v>
      </c>
      <c r="H19" s="213" t="s">
        <v>1587</v>
      </c>
      <c r="I19" s="221" t="s">
        <v>1588</v>
      </c>
      <c r="J19" s="213" t="s">
        <v>1589</v>
      </c>
      <c r="K19" s="213" t="s">
        <v>1590</v>
      </c>
      <c r="L19" s="213" t="n">
        <f aca="false">FALSE()</f>
        <v>0</v>
      </c>
      <c r="M19" s="0" t="n">
        <f aca="false">FALSE()</f>
        <v>0</v>
      </c>
      <c r="N19" s="0" t="n">
        <f aca="false">TRUE()</f>
        <v>1</v>
      </c>
      <c r="O19" s="0" t="n">
        <f aca="false">FALSE()</f>
        <v>0</v>
      </c>
      <c r="P19" s="213" t="s">
        <v>1591</v>
      </c>
      <c r="Q19" s="213" t="s">
        <v>1432</v>
      </c>
      <c r="R19" s="213" t="s">
        <v>1507</v>
      </c>
    </row>
    <row r="20" customFormat="false" ht="14.6" hidden="false" customHeight="false" outlineLevel="0" collapsed="false">
      <c r="B20" s="213" t="s">
        <v>1592</v>
      </c>
      <c r="C20" s="213" t="s">
        <v>1451</v>
      </c>
      <c r="D20" s="213" t="n">
        <v>2</v>
      </c>
      <c r="E20" s="219" t="n">
        <v>43727</v>
      </c>
      <c r="F20" s="219" t="n">
        <v>43727.4236111111</v>
      </c>
      <c r="G20" s="219" t="n">
        <v>43727.4375</v>
      </c>
      <c r="H20" s="213" t="s">
        <v>1496</v>
      </c>
      <c r="I20" s="221" t="s">
        <v>1593</v>
      </c>
      <c r="J20" s="213" t="s">
        <v>1594</v>
      </c>
      <c r="K20" s="213" t="s">
        <v>1499</v>
      </c>
      <c r="L20" s="213" t="n">
        <f aca="false">TRUE()</f>
        <v>1</v>
      </c>
      <c r="M20" s="0" t="n">
        <f aca="false">TRUE()</f>
        <v>1</v>
      </c>
      <c r="N20" s="0" t="n">
        <f aca="false">TRUE()</f>
        <v>1</v>
      </c>
      <c r="O20" s="0" t="n">
        <f aca="false">TRUE()</f>
        <v>1</v>
      </c>
      <c r="P20" s="213" t="s">
        <v>1595</v>
      </c>
      <c r="Q20" s="213" t="s">
        <v>1432</v>
      </c>
      <c r="R20" s="213" t="s">
        <v>1532</v>
      </c>
    </row>
    <row r="21" customFormat="false" ht="14.6" hidden="false" customHeight="false" outlineLevel="0" collapsed="false">
      <c r="B21" s="213" t="s">
        <v>1596</v>
      </c>
      <c r="C21" s="213" t="s">
        <v>1451</v>
      </c>
      <c r="D21" s="213" t="n">
        <v>2</v>
      </c>
      <c r="E21" s="219" t="n">
        <v>43728</v>
      </c>
      <c r="F21" s="219" t="n">
        <v>43728.6319444444</v>
      </c>
      <c r="G21" s="219" t="n">
        <v>43728.6555555556</v>
      </c>
      <c r="H21" s="213" t="s">
        <v>1496</v>
      </c>
      <c r="I21" s="221" t="s">
        <v>1593</v>
      </c>
      <c r="J21" s="213" t="s">
        <v>1597</v>
      </c>
      <c r="K21" s="213" t="s">
        <v>1598</v>
      </c>
      <c r="L21" s="213" t="n">
        <f aca="false">TRUE()</f>
        <v>1</v>
      </c>
      <c r="M21" s="0" t="n">
        <f aca="false">TRUE()</f>
        <v>1</v>
      </c>
      <c r="N21" s="0" t="n">
        <f aca="false">TRUE()</f>
        <v>1</v>
      </c>
      <c r="O21" s="0" t="n">
        <f aca="false">TRUE()</f>
        <v>1</v>
      </c>
      <c r="P21" s="213" t="s">
        <v>1599</v>
      </c>
      <c r="Q21" s="213" t="s">
        <v>1432</v>
      </c>
      <c r="R21" s="213" t="s">
        <v>1532</v>
      </c>
    </row>
    <row r="22" customFormat="false" ht="14.6" hidden="false" customHeight="false" outlineLevel="0" collapsed="false">
      <c r="B22" s="213" t="s">
        <v>1600</v>
      </c>
      <c r="C22" s="213" t="s">
        <v>222</v>
      </c>
      <c r="D22" s="213" t="n">
        <v>2</v>
      </c>
      <c r="E22" s="219" t="n">
        <v>43731</v>
      </c>
      <c r="F22" s="219" t="n">
        <v>43731.9395833333</v>
      </c>
      <c r="G22" s="219" t="n">
        <v>43732.2944444444</v>
      </c>
      <c r="H22" s="213" t="s">
        <v>1559</v>
      </c>
      <c r="I22" s="213" t="s">
        <v>1560</v>
      </c>
      <c r="J22" s="213" t="s">
        <v>1601</v>
      </c>
      <c r="K22" s="213" t="s">
        <v>1602</v>
      </c>
      <c r="L22" s="213" t="n">
        <f aca="false">FALSE()</f>
        <v>0</v>
      </c>
      <c r="M22" s="0" t="n">
        <f aca="false">FALSE()</f>
        <v>0</v>
      </c>
      <c r="N22" s="0" t="n">
        <f aca="false">TRUE()</f>
        <v>1</v>
      </c>
      <c r="O22" s="0" t="n">
        <f aca="false">TRUE()</f>
        <v>1</v>
      </c>
      <c r="P22" s="213" t="s">
        <v>1430</v>
      </c>
      <c r="Q22" s="213" t="s">
        <v>1432</v>
      </c>
      <c r="R22" s="213" t="s">
        <v>1507</v>
      </c>
    </row>
    <row r="23" customFormat="false" ht="14.6" hidden="false" customHeight="false" outlineLevel="0" collapsed="false">
      <c r="B23" s="213" t="s">
        <v>1603</v>
      </c>
      <c r="C23" s="213" t="s">
        <v>179</v>
      </c>
      <c r="D23" s="213" t="n">
        <v>2</v>
      </c>
      <c r="E23" s="219" t="n">
        <v>43738</v>
      </c>
      <c r="F23" s="219" t="n">
        <v>43732.3388888889</v>
      </c>
      <c r="G23" s="219" t="n">
        <v>43732.3493055556</v>
      </c>
      <c r="H23" s="213" t="s">
        <v>1604</v>
      </c>
      <c r="I23" s="213" t="s">
        <v>1605</v>
      </c>
      <c r="J23" s="221" t="s">
        <v>1606</v>
      </c>
      <c r="K23" s="213" t="s">
        <v>1607</v>
      </c>
      <c r="L23" s="213" t="n">
        <f aca="false">TRUE()</f>
        <v>1</v>
      </c>
      <c r="M23" s="0" t="n">
        <f aca="false">FALSE()</f>
        <v>0</v>
      </c>
      <c r="N23" s="0" t="n">
        <f aca="false">TRUE()</f>
        <v>1</v>
      </c>
      <c r="O23" s="0" t="n">
        <f aca="false">FALSE()</f>
        <v>0</v>
      </c>
      <c r="P23" s="213" t="s">
        <v>1608</v>
      </c>
      <c r="Q23" s="213" t="s">
        <v>1432</v>
      </c>
      <c r="R23" s="213" t="s">
        <v>1507</v>
      </c>
    </row>
    <row r="24" customFormat="false" ht="14.6" hidden="false" customHeight="false" outlineLevel="0" collapsed="false">
      <c r="B24" s="213" t="s">
        <v>1609</v>
      </c>
      <c r="C24" s="213" t="s">
        <v>1470</v>
      </c>
      <c r="D24" s="213" t="n">
        <v>1</v>
      </c>
      <c r="E24" s="219" t="n">
        <v>43732</v>
      </c>
      <c r="F24" s="219" t="n">
        <v>43732.4583333333</v>
      </c>
      <c r="G24" s="219" t="n">
        <v>43732.4604166667</v>
      </c>
      <c r="H24" s="213" t="s">
        <v>1610</v>
      </c>
      <c r="I24" s="221" t="s">
        <v>1611</v>
      </c>
      <c r="J24" s="213" t="s">
        <v>1612</v>
      </c>
      <c r="K24" s="213" t="s">
        <v>1613</v>
      </c>
      <c r="L24" s="213" t="n">
        <f aca="false">TRUE()</f>
        <v>1</v>
      </c>
      <c r="M24" s="0" t="n">
        <f aca="false">TRUE()</f>
        <v>1</v>
      </c>
      <c r="N24" s="0" t="n">
        <f aca="false">TRUE()</f>
        <v>1</v>
      </c>
      <c r="O24" s="0" t="n">
        <f aca="false">TRUE()</f>
        <v>1</v>
      </c>
      <c r="P24" s="213" t="s">
        <v>1614</v>
      </c>
      <c r="Q24" s="213" t="s">
        <v>1432</v>
      </c>
      <c r="R24" s="213" t="s">
        <v>1501</v>
      </c>
    </row>
    <row r="25" customFormat="false" ht="14.6" hidden="false" customHeight="false" outlineLevel="0" collapsed="false">
      <c r="B25" s="213" t="s">
        <v>1615</v>
      </c>
      <c r="C25" s="213" t="s">
        <v>222</v>
      </c>
      <c r="D25" s="213" t="n">
        <v>2</v>
      </c>
      <c r="E25" s="219" t="n">
        <v>43733</v>
      </c>
      <c r="F25" s="219" t="n">
        <v>43733.1541666667</v>
      </c>
      <c r="G25" s="219" t="n">
        <v>43733.93125</v>
      </c>
      <c r="H25" s="213" t="s">
        <v>1559</v>
      </c>
      <c r="I25" s="213" t="s">
        <v>1560</v>
      </c>
      <c r="J25" s="213" t="s">
        <v>1616</v>
      </c>
      <c r="K25" s="213" t="s">
        <v>1617</v>
      </c>
      <c r="L25" s="213" t="n">
        <f aca="false">FALSE()</f>
        <v>0</v>
      </c>
      <c r="M25" s="0" t="n">
        <f aca="false">FALSE()</f>
        <v>0</v>
      </c>
      <c r="N25" s="0" t="n">
        <f aca="false">TRUE()</f>
        <v>1</v>
      </c>
      <c r="O25" s="0" t="n">
        <f aca="false">TRUE()</f>
        <v>1</v>
      </c>
      <c r="P25" s="213" t="s">
        <v>1433</v>
      </c>
      <c r="Q25" s="213" t="s">
        <v>1432</v>
      </c>
      <c r="R25" s="213" t="s">
        <v>1507</v>
      </c>
    </row>
    <row r="26" customFormat="false" ht="14.6" hidden="false" customHeight="false" outlineLevel="0" collapsed="false">
      <c r="B26" s="213" t="s">
        <v>1618</v>
      </c>
      <c r="C26" s="213" t="s">
        <v>1475</v>
      </c>
      <c r="D26" s="213" t="n">
        <v>2</v>
      </c>
      <c r="E26" s="219" t="n">
        <v>43735</v>
      </c>
      <c r="F26" s="219" t="n">
        <v>43733.3541666667</v>
      </c>
      <c r="G26" s="219" t="n">
        <v>43733.3784722222</v>
      </c>
      <c r="H26" s="213" t="s">
        <v>1619</v>
      </c>
      <c r="I26" s="213" t="s">
        <v>1620</v>
      </c>
      <c r="J26" s="213" t="s">
        <v>1621</v>
      </c>
      <c r="K26" s="213" t="s">
        <v>1622</v>
      </c>
      <c r="L26" s="213" t="n">
        <f aca="false">TRUE()</f>
        <v>1</v>
      </c>
      <c r="M26" s="0" t="n">
        <f aca="false">TRUE()</f>
        <v>1</v>
      </c>
      <c r="N26" s="0" t="n">
        <f aca="false">TRUE()</f>
        <v>1</v>
      </c>
      <c r="O26" s="0" t="n">
        <f aca="false">TRUE()</f>
        <v>1</v>
      </c>
      <c r="P26" s="213" t="s">
        <v>1623</v>
      </c>
      <c r="Q26" s="213" t="s">
        <v>1432</v>
      </c>
      <c r="R26" s="213" t="s">
        <v>1532</v>
      </c>
    </row>
    <row r="27" customFormat="false" ht="14.6" hidden="false" customHeight="false" outlineLevel="0" collapsed="false">
      <c r="B27" s="213" t="s">
        <v>1624</v>
      </c>
      <c r="C27" s="213" t="s">
        <v>1295</v>
      </c>
      <c r="D27" s="213" t="n">
        <v>2</v>
      </c>
      <c r="E27" s="219" t="n">
        <v>43740</v>
      </c>
      <c r="F27" s="219" t="n">
        <v>43740.5736111111</v>
      </c>
      <c r="G27" s="219" t="n">
        <v>43740.5930555556</v>
      </c>
      <c r="H27" s="213" t="s">
        <v>1625</v>
      </c>
      <c r="I27" s="213" t="s">
        <v>1626</v>
      </c>
      <c r="J27" s="213" t="s">
        <v>1627</v>
      </c>
      <c r="K27" s="213" t="s">
        <v>1628</v>
      </c>
      <c r="L27" s="213" t="n">
        <f aca="false">FALSE()</f>
        <v>0</v>
      </c>
      <c r="M27" s="0" t="n">
        <f aca="false">FALSE()</f>
        <v>0</v>
      </c>
      <c r="N27" s="0" t="n">
        <f aca="false">TRUE()</f>
        <v>1</v>
      </c>
      <c r="O27" s="0" t="n">
        <f aca="false">TRUE()</f>
        <v>1</v>
      </c>
      <c r="P27" s="213" t="s">
        <v>1629</v>
      </c>
      <c r="Q27" s="213" t="s">
        <v>1440</v>
      </c>
      <c r="R27" s="213" t="s">
        <v>1507</v>
      </c>
    </row>
    <row r="28" customFormat="false" ht="14.6" hidden="false" customHeight="false" outlineLevel="0" collapsed="false">
      <c r="B28" s="213" t="s">
        <v>1630</v>
      </c>
      <c r="C28" s="213" t="s">
        <v>1631</v>
      </c>
      <c r="D28" s="213" t="n">
        <v>2</v>
      </c>
      <c r="E28" s="219" t="n">
        <v>43742</v>
      </c>
      <c r="F28" s="219" t="n">
        <v>43742.3902777778</v>
      </c>
      <c r="G28" s="219" t="n">
        <v>43742.4993055556</v>
      </c>
      <c r="H28" s="213" t="s">
        <v>1632</v>
      </c>
      <c r="I28" s="213" t="s">
        <v>1633</v>
      </c>
      <c r="J28" s="213" t="s">
        <v>1634</v>
      </c>
      <c r="K28" s="221" t="s">
        <v>1635</v>
      </c>
      <c r="L28" s="213" t="n">
        <f aca="false">FALSE()</f>
        <v>0</v>
      </c>
      <c r="M28" s="0" t="n">
        <f aca="false">FALSE()</f>
        <v>0</v>
      </c>
      <c r="N28" s="0" t="n">
        <f aca="false">TRUE()</f>
        <v>1</v>
      </c>
      <c r="O28" s="0" t="n">
        <f aca="false">TRUE()</f>
        <v>1</v>
      </c>
      <c r="P28" s="213" t="s">
        <v>1636</v>
      </c>
      <c r="Q28" s="213" t="s">
        <v>1440</v>
      </c>
      <c r="R28" s="213" t="s">
        <v>1507</v>
      </c>
    </row>
    <row r="29" customFormat="false" ht="14.6" hidden="false" customHeight="false" outlineLevel="0" collapsed="false">
      <c r="B29" s="213" t="s">
        <v>1637</v>
      </c>
      <c r="C29" s="213" t="s">
        <v>1638</v>
      </c>
      <c r="D29" s="213" t="n">
        <v>2</v>
      </c>
      <c r="E29" s="219" t="n">
        <v>43745</v>
      </c>
      <c r="F29" s="219" t="n">
        <v>43745.5659722222</v>
      </c>
      <c r="G29" s="219" t="n">
        <v>43745.5819444444</v>
      </c>
      <c r="H29" s="213" t="s">
        <v>1639</v>
      </c>
      <c r="I29" s="221" t="s">
        <v>1640</v>
      </c>
      <c r="J29" s="213" t="s">
        <v>1641</v>
      </c>
      <c r="K29" s="213" t="s">
        <v>1642</v>
      </c>
      <c r="L29" s="213" t="n">
        <f aca="false">TRUE()</f>
        <v>1</v>
      </c>
      <c r="M29" s="0" t="n">
        <f aca="false">TRUE()</f>
        <v>1</v>
      </c>
      <c r="N29" s="0" t="n">
        <f aca="false">TRUE()</f>
        <v>1</v>
      </c>
      <c r="O29" s="0" t="n">
        <f aca="false">TRUE()</f>
        <v>1</v>
      </c>
      <c r="P29" s="213" t="s">
        <v>1643</v>
      </c>
      <c r="Q29" s="213" t="s">
        <v>1440</v>
      </c>
      <c r="R29" s="213" t="s">
        <v>1644</v>
      </c>
    </row>
    <row r="30" customFormat="false" ht="14.6" hidden="false" customHeight="false" outlineLevel="0" collapsed="false">
      <c r="B30" s="213" t="s">
        <v>1645</v>
      </c>
      <c r="C30" s="213" t="s">
        <v>1646</v>
      </c>
      <c r="D30" s="213" t="n">
        <v>2</v>
      </c>
      <c r="E30" s="219" t="n">
        <v>43746</v>
      </c>
      <c r="F30" s="219" t="n">
        <v>43746.7430555556</v>
      </c>
      <c r="G30" s="219" t="n">
        <v>43746.8944444444</v>
      </c>
      <c r="H30" s="213" t="s">
        <v>1647</v>
      </c>
      <c r="I30" s="221" t="s">
        <v>1648</v>
      </c>
      <c r="J30" s="213" t="s">
        <v>1649</v>
      </c>
      <c r="K30" s="221" t="s">
        <v>1650</v>
      </c>
      <c r="L30" s="213" t="n">
        <f aca="false">TRUE()</f>
        <v>1</v>
      </c>
      <c r="M30" s="0" t="n">
        <f aca="false">TRUE()</f>
        <v>1</v>
      </c>
      <c r="N30" s="0" t="n">
        <f aca="false">TRUE()</f>
        <v>1</v>
      </c>
      <c r="O30" s="0" t="n">
        <f aca="false">TRUE()</f>
        <v>1</v>
      </c>
      <c r="P30" s="213" t="s">
        <v>1651</v>
      </c>
      <c r="Q30" s="213" t="s">
        <v>1440</v>
      </c>
      <c r="R30" s="213" t="s">
        <v>1501</v>
      </c>
    </row>
    <row r="31" customFormat="false" ht="14.6" hidden="false" customHeight="false" outlineLevel="0" collapsed="false">
      <c r="B31" s="213" t="s">
        <v>1652</v>
      </c>
      <c r="C31" s="213" t="s">
        <v>1653</v>
      </c>
      <c r="D31" s="213" t="n">
        <v>2</v>
      </c>
      <c r="E31" s="219" t="n">
        <v>43747</v>
      </c>
      <c r="F31" s="219" t="n">
        <v>43747.6625</v>
      </c>
      <c r="G31" s="219" t="n">
        <v>43747.6805555556</v>
      </c>
      <c r="H31" s="213" t="s">
        <v>1654</v>
      </c>
      <c r="I31" s="213" t="s">
        <v>1655</v>
      </c>
      <c r="J31" s="213" t="s">
        <v>1656</v>
      </c>
      <c r="K31" s="213" t="s">
        <v>1657</v>
      </c>
      <c r="L31" s="213" t="n">
        <f aca="false">FALSE()</f>
        <v>0</v>
      </c>
      <c r="M31" s="0" t="n">
        <f aca="false">FALSE()</f>
        <v>0</v>
      </c>
      <c r="N31" s="0" t="n">
        <f aca="false">TRUE()</f>
        <v>1</v>
      </c>
      <c r="O31" s="0" t="n">
        <f aca="false">TRUE()</f>
        <v>1</v>
      </c>
      <c r="P31" s="213" t="s">
        <v>1658</v>
      </c>
      <c r="Q31" s="213" t="s">
        <v>1440</v>
      </c>
      <c r="R31" s="213" t="s">
        <v>1507</v>
      </c>
    </row>
    <row r="32" customFormat="false" ht="14.6" hidden="false" customHeight="false" outlineLevel="0" collapsed="false">
      <c r="B32" s="213" t="s">
        <v>1659</v>
      </c>
      <c r="C32" s="213" t="s">
        <v>1451</v>
      </c>
      <c r="D32" s="213" t="n">
        <v>2</v>
      </c>
      <c r="E32" s="219" t="n">
        <v>43753</v>
      </c>
      <c r="F32" s="219" t="n">
        <v>43753.4444444445</v>
      </c>
      <c r="G32" s="219" t="n">
        <v>43753.4826388889</v>
      </c>
      <c r="H32" s="213" t="s">
        <v>1496</v>
      </c>
      <c r="I32" s="221" t="s">
        <v>1593</v>
      </c>
      <c r="J32" s="213" t="s">
        <v>1660</v>
      </c>
      <c r="K32" s="213" t="s">
        <v>1661</v>
      </c>
      <c r="L32" s="213" t="n">
        <f aca="false">TRUE()</f>
        <v>1</v>
      </c>
      <c r="M32" s="0" t="n">
        <f aca="false">TRUE()</f>
        <v>1</v>
      </c>
      <c r="N32" s="0" t="n">
        <f aca="false">TRUE()</f>
        <v>1</v>
      </c>
      <c r="O32" s="0" t="n">
        <f aca="false">TRUE()</f>
        <v>1</v>
      </c>
      <c r="P32" s="213" t="s">
        <v>1444</v>
      </c>
      <c r="Q32" s="213" t="s">
        <v>1440</v>
      </c>
      <c r="R32" s="213" t="s">
        <v>1532</v>
      </c>
    </row>
    <row r="33" customFormat="false" ht="14.6" hidden="false" customHeight="false" outlineLevel="0" collapsed="false">
      <c r="B33" s="213" t="s">
        <v>1662</v>
      </c>
      <c r="C33" s="213" t="s">
        <v>1663</v>
      </c>
      <c r="D33" s="213" t="n">
        <v>2</v>
      </c>
      <c r="E33" s="219" t="n">
        <v>43755</v>
      </c>
      <c r="F33" s="219" t="n">
        <v>43754.3090277778</v>
      </c>
      <c r="G33" s="219" t="n">
        <v>43754.4756944445</v>
      </c>
      <c r="H33" s="213" t="s">
        <v>1664</v>
      </c>
      <c r="I33" s="221" t="s">
        <v>1665</v>
      </c>
      <c r="J33" s="213" t="s">
        <v>1666</v>
      </c>
      <c r="K33" s="213" t="s">
        <v>1667</v>
      </c>
      <c r="L33" s="213" t="n">
        <f aca="false">TRUE()</f>
        <v>1</v>
      </c>
      <c r="M33" s="0" t="n">
        <f aca="false">FALSE()</f>
        <v>0</v>
      </c>
      <c r="N33" s="0" t="n">
        <f aca="false">TRUE()</f>
        <v>1</v>
      </c>
      <c r="O33" s="0" t="n">
        <f aca="false">TRUE()</f>
        <v>1</v>
      </c>
      <c r="P33" s="213" t="s">
        <v>1668</v>
      </c>
      <c r="Q33" s="213" t="s">
        <v>1440</v>
      </c>
      <c r="R33" s="213" t="s">
        <v>1501</v>
      </c>
    </row>
    <row r="34" customFormat="false" ht="14.6" hidden="false" customHeight="false" outlineLevel="0" collapsed="false">
      <c r="B34" s="213" t="s">
        <v>1669</v>
      </c>
      <c r="C34" s="213" t="s">
        <v>1470</v>
      </c>
      <c r="D34" s="213" t="n">
        <v>2</v>
      </c>
      <c r="E34" s="219" t="n">
        <v>43759</v>
      </c>
      <c r="F34" s="219" t="n">
        <v>43755.7569444444</v>
      </c>
      <c r="G34" s="219" t="n">
        <v>43755.8958333333</v>
      </c>
      <c r="H34" s="213" t="s">
        <v>1670</v>
      </c>
      <c r="I34" s="221" t="s">
        <v>1671</v>
      </c>
      <c r="J34" s="213" t="s">
        <v>1672</v>
      </c>
      <c r="K34" s="213" t="s">
        <v>1673</v>
      </c>
      <c r="L34" s="213" t="n">
        <f aca="false">FALSE()</f>
        <v>0</v>
      </c>
      <c r="M34" s="0" t="n">
        <f aca="false">FALSE()</f>
        <v>0</v>
      </c>
      <c r="N34" s="0" t="n">
        <f aca="false">TRUE()</f>
        <v>1</v>
      </c>
      <c r="O34" s="0" t="n">
        <f aca="false">FALSE()</f>
        <v>0</v>
      </c>
      <c r="P34" s="213" t="s">
        <v>1674</v>
      </c>
      <c r="Q34" s="213" t="s">
        <v>1440</v>
      </c>
      <c r="R34" s="213" t="s">
        <v>1532</v>
      </c>
    </row>
    <row r="35" customFormat="false" ht="14.6" hidden="false" customHeight="false" outlineLevel="0" collapsed="false">
      <c r="B35" s="213" t="s">
        <v>1675</v>
      </c>
      <c r="C35" s="213" t="s">
        <v>1663</v>
      </c>
      <c r="D35" s="213" t="n">
        <v>2</v>
      </c>
      <c r="E35" s="219" t="n">
        <v>43760</v>
      </c>
      <c r="F35" s="219" t="n">
        <v>43758.2916666667</v>
      </c>
      <c r="G35" s="219" t="n">
        <v>43758.3451388889</v>
      </c>
      <c r="H35" s="213" t="s">
        <v>1664</v>
      </c>
      <c r="I35" s="221" t="s">
        <v>1676</v>
      </c>
      <c r="J35" s="213" t="s">
        <v>1677</v>
      </c>
      <c r="K35" s="213" t="s">
        <v>1678</v>
      </c>
      <c r="L35" s="213" t="n">
        <f aca="false">TRUE()</f>
        <v>1</v>
      </c>
      <c r="M35" s="0" t="n">
        <f aca="false">TRUE()</f>
        <v>1</v>
      </c>
      <c r="N35" s="0" t="n">
        <f aca="false">TRUE()</f>
        <v>1</v>
      </c>
      <c r="O35" s="0" t="n">
        <f aca="false">TRUE()</f>
        <v>1</v>
      </c>
      <c r="P35" s="213" t="s">
        <v>1679</v>
      </c>
      <c r="Q35" s="213" t="s">
        <v>1440</v>
      </c>
      <c r="R35" s="213" t="s">
        <v>1532</v>
      </c>
    </row>
    <row r="36" customFormat="false" ht="14.6" hidden="false" customHeight="false" outlineLevel="0" collapsed="false">
      <c r="B36" s="213" t="s">
        <v>1680</v>
      </c>
      <c r="C36" s="213" t="s">
        <v>1681</v>
      </c>
      <c r="D36" s="213" t="n">
        <v>2</v>
      </c>
      <c r="E36" s="219" t="n">
        <v>43759</v>
      </c>
      <c r="F36" s="219" t="n">
        <v>43759.4131944444</v>
      </c>
      <c r="G36" s="219" t="n">
        <v>43759.5861111111</v>
      </c>
      <c r="H36" s="213" t="s">
        <v>1682</v>
      </c>
      <c r="I36" s="213" t="s">
        <v>1683</v>
      </c>
      <c r="J36" s="213" t="s">
        <v>1684</v>
      </c>
      <c r="K36" s="213" t="s">
        <v>1685</v>
      </c>
      <c r="L36" s="213" t="n">
        <f aca="false">FALSE()</f>
        <v>0</v>
      </c>
      <c r="M36" s="0" t="n">
        <f aca="false">FALSE()</f>
        <v>0</v>
      </c>
      <c r="N36" s="0" t="n">
        <f aca="false">TRUE()</f>
        <v>1</v>
      </c>
      <c r="O36" s="0" t="n">
        <f aca="false">TRUE()</f>
        <v>1</v>
      </c>
      <c r="P36" s="213" t="s">
        <v>1686</v>
      </c>
      <c r="Q36" s="213" t="s">
        <v>1440</v>
      </c>
      <c r="R36" s="213" t="s">
        <v>1507</v>
      </c>
    </row>
    <row r="37" customFormat="false" ht="14.6" hidden="false" customHeight="false" outlineLevel="0" collapsed="false">
      <c r="B37" s="213" t="s">
        <v>1687</v>
      </c>
      <c r="C37" s="213" t="s">
        <v>1688</v>
      </c>
      <c r="D37" s="213" t="n">
        <v>2</v>
      </c>
      <c r="E37" s="219" t="n">
        <v>43767</v>
      </c>
      <c r="F37" s="219" t="n">
        <v>43760.1680555556</v>
      </c>
      <c r="G37" s="219" t="n">
        <v>43760.3875</v>
      </c>
      <c r="H37" s="213" t="s">
        <v>1689</v>
      </c>
      <c r="I37" s="221" t="s">
        <v>1690</v>
      </c>
      <c r="J37" s="213" t="s">
        <v>1691</v>
      </c>
      <c r="K37" s="213" t="s">
        <v>1692</v>
      </c>
      <c r="L37" s="213" t="n">
        <f aca="false">TRUE()</f>
        <v>1</v>
      </c>
      <c r="M37" s="0" t="n">
        <f aca="false">TRUE()</f>
        <v>1</v>
      </c>
      <c r="N37" s="0" t="n">
        <f aca="false">TRUE()</f>
        <v>1</v>
      </c>
      <c r="O37" s="0" t="n">
        <f aca="false">TRUE()</f>
        <v>1</v>
      </c>
      <c r="P37" s="213" t="s">
        <v>1693</v>
      </c>
      <c r="Q37" s="213" t="s">
        <v>1440</v>
      </c>
      <c r="R37" s="213" t="s">
        <v>1532</v>
      </c>
    </row>
    <row r="38" customFormat="false" ht="14.6" hidden="false" customHeight="false" outlineLevel="0" collapsed="false">
      <c r="B38" s="213" t="s">
        <v>1694</v>
      </c>
      <c r="C38" s="213" t="s">
        <v>1695</v>
      </c>
      <c r="D38" s="213" t="n">
        <v>2</v>
      </c>
      <c r="E38" s="219" t="n">
        <v>43760</v>
      </c>
      <c r="F38" s="219" t="n">
        <v>43760.7013888889</v>
      </c>
      <c r="G38" s="219" t="n">
        <v>43760.7979166667</v>
      </c>
      <c r="H38" s="213" t="s">
        <v>1696</v>
      </c>
      <c r="I38" s="221" t="s">
        <v>1697</v>
      </c>
      <c r="J38" s="213" t="s">
        <v>1698</v>
      </c>
      <c r="K38" s="213" t="s">
        <v>1699</v>
      </c>
      <c r="L38" s="213" t="n">
        <f aca="false">TRUE()</f>
        <v>1</v>
      </c>
      <c r="M38" s="0" t="n">
        <f aca="false">TRUE()</f>
        <v>1</v>
      </c>
      <c r="N38" s="0" t="n">
        <f aca="false">TRUE()</f>
        <v>1</v>
      </c>
      <c r="O38" s="0" t="n">
        <f aca="false">TRUE()</f>
        <v>1</v>
      </c>
      <c r="P38" s="213" t="s">
        <v>1700</v>
      </c>
      <c r="Q38" s="213" t="s">
        <v>1440</v>
      </c>
      <c r="R38" s="213" t="s">
        <v>1644</v>
      </c>
    </row>
    <row r="39" customFormat="false" ht="14.6" hidden="false" customHeight="false" outlineLevel="0" collapsed="false">
      <c r="B39" s="213" t="s">
        <v>1701</v>
      </c>
      <c r="C39" s="213" t="s">
        <v>1702</v>
      </c>
      <c r="D39" s="213" t="n">
        <v>2</v>
      </c>
      <c r="E39" s="219" t="n">
        <v>43763</v>
      </c>
      <c r="F39" s="219" t="n">
        <v>43762.1673611111</v>
      </c>
      <c r="G39" s="219" t="n">
        <v>43762.4826388889</v>
      </c>
      <c r="H39" s="213" t="s">
        <v>1703</v>
      </c>
      <c r="I39" s="221" t="s">
        <v>1704</v>
      </c>
      <c r="J39" s="213" t="s">
        <v>1705</v>
      </c>
      <c r="K39" s="221" t="s">
        <v>1706</v>
      </c>
      <c r="L39" s="213" t="n">
        <f aca="false">TRUE()</f>
        <v>1</v>
      </c>
      <c r="M39" s="0" t="n">
        <f aca="false">TRUE()</f>
        <v>1</v>
      </c>
      <c r="N39" s="0" t="n">
        <f aca="false">TRUE()</f>
        <v>1</v>
      </c>
      <c r="O39" s="0" t="n">
        <f aca="false">TRUE()</f>
        <v>1</v>
      </c>
      <c r="P39" s="213" t="s">
        <v>1707</v>
      </c>
      <c r="Q39" s="213" t="s">
        <v>1440</v>
      </c>
      <c r="R39" s="213" t="s">
        <v>1539</v>
      </c>
    </row>
    <row r="40" customFormat="false" ht="14.6" hidden="false" customHeight="false" outlineLevel="0" collapsed="false">
      <c r="B40" s="213" t="s">
        <v>1708</v>
      </c>
      <c r="C40" s="213" t="s">
        <v>1470</v>
      </c>
      <c r="D40" s="213" t="n">
        <v>1</v>
      </c>
      <c r="E40" s="219" t="n">
        <v>43773</v>
      </c>
      <c r="F40" s="219" t="n">
        <v>43762.4625</v>
      </c>
      <c r="G40" s="219" t="n">
        <v>43762.6</v>
      </c>
      <c r="H40" s="213" t="s">
        <v>1709</v>
      </c>
      <c r="I40" s="221" t="s">
        <v>1710</v>
      </c>
      <c r="J40" s="213" t="s">
        <v>1711</v>
      </c>
      <c r="K40" s="213" t="s">
        <v>1712</v>
      </c>
      <c r="L40" s="213" t="n">
        <f aca="false">TRUE()</f>
        <v>1</v>
      </c>
      <c r="M40" s="0" t="n">
        <f aca="false">TRUE()</f>
        <v>1</v>
      </c>
      <c r="N40" s="0" t="n">
        <f aca="false">TRUE()</f>
        <v>1</v>
      </c>
      <c r="O40" s="0" t="n">
        <f aca="false">TRUE()</f>
        <v>1</v>
      </c>
      <c r="P40" s="213" t="s">
        <v>1713</v>
      </c>
      <c r="Q40" s="213" t="s">
        <v>1446</v>
      </c>
      <c r="R40" s="213" t="s">
        <v>1501</v>
      </c>
    </row>
    <row r="41" customFormat="false" ht="14.6" hidden="false" customHeight="false" outlineLevel="0" collapsed="false">
      <c r="B41" s="213" t="s">
        <v>1714</v>
      </c>
      <c r="C41" s="213" t="s">
        <v>1715</v>
      </c>
      <c r="D41" s="213" t="n">
        <v>2</v>
      </c>
      <c r="E41" s="219" t="n">
        <v>43767</v>
      </c>
      <c r="F41" s="219" t="n">
        <v>43762.9159722222</v>
      </c>
      <c r="G41" s="219" t="n">
        <v>43762.9895833333</v>
      </c>
      <c r="H41" s="213" t="s">
        <v>1716</v>
      </c>
      <c r="I41" s="221" t="s">
        <v>1717</v>
      </c>
      <c r="J41" s="213" t="s">
        <v>1718</v>
      </c>
      <c r="K41" s="213" t="s">
        <v>1719</v>
      </c>
      <c r="L41" s="213" t="n">
        <f aca="false">TRUE()</f>
        <v>1</v>
      </c>
      <c r="M41" s="0" t="n">
        <f aca="false">TRUE()</f>
        <v>1</v>
      </c>
      <c r="N41" s="0" t="n">
        <f aca="false">TRUE()</f>
        <v>1</v>
      </c>
      <c r="O41" s="0" t="n">
        <f aca="false">TRUE()</f>
        <v>1</v>
      </c>
      <c r="P41" s="213" t="s">
        <v>1720</v>
      </c>
      <c r="Q41" s="213" t="s">
        <v>1440</v>
      </c>
      <c r="R41" s="213" t="s">
        <v>1532</v>
      </c>
    </row>
    <row r="42" customFormat="false" ht="14.6" hidden="false" customHeight="false" outlineLevel="0" collapsed="false">
      <c r="B42" s="213" t="s">
        <v>1721</v>
      </c>
      <c r="C42" s="213" t="s">
        <v>1722</v>
      </c>
      <c r="D42" s="213" t="n">
        <v>2</v>
      </c>
      <c r="E42" s="219" t="n">
        <v>43767</v>
      </c>
      <c r="F42" s="219" t="n">
        <v>43763.9340277778</v>
      </c>
      <c r="G42" s="219" t="n">
        <v>43764.0590277778</v>
      </c>
      <c r="H42" s="213" t="s">
        <v>1723</v>
      </c>
      <c r="I42" s="221" t="s">
        <v>1724</v>
      </c>
      <c r="J42" s="213" t="s">
        <v>1725</v>
      </c>
      <c r="K42" s="213" t="s">
        <v>1726</v>
      </c>
      <c r="L42" s="213" t="n">
        <f aca="false">TRUE()</f>
        <v>1</v>
      </c>
      <c r="M42" s="0" t="n">
        <f aca="false">FALSE()</f>
        <v>0</v>
      </c>
      <c r="N42" s="0" t="n">
        <f aca="false">TRUE()</f>
        <v>1</v>
      </c>
      <c r="O42" s="0" t="n">
        <f aca="false">TRUE()</f>
        <v>1</v>
      </c>
      <c r="P42" s="213" t="s">
        <v>1557</v>
      </c>
      <c r="Q42" s="213" t="s">
        <v>1440</v>
      </c>
      <c r="R42" s="213" t="s">
        <v>1507</v>
      </c>
    </row>
    <row r="43" customFormat="false" ht="14.6" hidden="false" customHeight="false" outlineLevel="0" collapsed="false">
      <c r="B43" s="213" t="s">
        <v>1727</v>
      </c>
      <c r="C43" s="213" t="s">
        <v>1470</v>
      </c>
      <c r="D43" s="213" t="n">
        <v>1</v>
      </c>
      <c r="E43" s="219" t="n">
        <v>43787</v>
      </c>
      <c r="F43" s="219" t="n">
        <v>43766.2708333333</v>
      </c>
      <c r="G43" s="219" t="n">
        <v>43766.6145833333</v>
      </c>
      <c r="H43" s="213" t="s">
        <v>1728</v>
      </c>
      <c r="I43" s="213" t="s">
        <v>1729</v>
      </c>
      <c r="J43" s="213" t="s">
        <v>1730</v>
      </c>
      <c r="K43" s="213" t="s">
        <v>1731</v>
      </c>
      <c r="L43" s="213" t="n">
        <f aca="false">TRUE()</f>
        <v>1</v>
      </c>
      <c r="M43" s="0" t="n">
        <f aca="false">TRUE()</f>
        <v>1</v>
      </c>
      <c r="N43" s="0" t="n">
        <f aca="false">TRUE()</f>
        <v>1</v>
      </c>
      <c r="O43" s="0" t="n">
        <f aca="false">TRUE()</f>
        <v>1</v>
      </c>
      <c r="P43" s="213" t="s">
        <v>1732</v>
      </c>
      <c r="Q43" s="213" t="s">
        <v>1446</v>
      </c>
      <c r="R43" s="213" t="s">
        <v>1501</v>
      </c>
    </row>
    <row r="44" customFormat="false" ht="14.6" hidden="false" customHeight="false" outlineLevel="0" collapsed="false">
      <c r="B44" s="213" t="s">
        <v>1733</v>
      </c>
      <c r="C44" s="213" t="s">
        <v>1734</v>
      </c>
      <c r="D44" s="213" t="n">
        <v>1</v>
      </c>
      <c r="E44" s="219" t="n">
        <v>43774</v>
      </c>
      <c r="F44" s="219" t="n">
        <v>43766.6076388889</v>
      </c>
      <c r="G44" s="219" t="n">
        <v>43766.6618055556</v>
      </c>
      <c r="H44" s="213" t="s">
        <v>1735</v>
      </c>
      <c r="I44" s="221" t="s">
        <v>1736</v>
      </c>
      <c r="J44" s="213" t="s">
        <v>1737</v>
      </c>
      <c r="K44" s="213" t="s">
        <v>1738</v>
      </c>
      <c r="L44" s="213" t="n">
        <f aca="false">TRUE()</f>
        <v>1</v>
      </c>
      <c r="M44" s="0" t="n">
        <f aca="false">TRUE()</f>
        <v>1</v>
      </c>
      <c r="N44" s="0" t="n">
        <f aca="false">TRUE()</f>
        <v>1</v>
      </c>
      <c r="O44" s="0" t="n">
        <f aca="false">TRUE()</f>
        <v>1</v>
      </c>
      <c r="P44" s="213" t="s">
        <v>1739</v>
      </c>
      <c r="Q44" s="213" t="s">
        <v>1446</v>
      </c>
      <c r="R44" s="213" t="s">
        <v>1644</v>
      </c>
    </row>
    <row r="45" customFormat="false" ht="14.6" hidden="false" customHeight="false" outlineLevel="0" collapsed="false">
      <c r="B45" s="213" t="s">
        <v>1740</v>
      </c>
      <c r="C45" s="213" t="s">
        <v>1741</v>
      </c>
      <c r="D45" s="213" t="n">
        <v>2</v>
      </c>
      <c r="E45" s="219" t="n">
        <v>43767</v>
      </c>
      <c r="F45" s="219" t="n">
        <v>43767.2993055556</v>
      </c>
      <c r="G45" s="219" t="n">
        <v>43768.6041666667</v>
      </c>
      <c r="H45" s="213" t="s">
        <v>1742</v>
      </c>
      <c r="I45" s="221" t="s">
        <v>1743</v>
      </c>
      <c r="J45" s="213" t="s">
        <v>1744</v>
      </c>
      <c r="K45" s="213" t="s">
        <v>1745</v>
      </c>
      <c r="L45" s="213" t="n">
        <f aca="false">TRUE()</f>
        <v>1</v>
      </c>
      <c r="M45" s="0" t="n">
        <f aca="false">TRUE()</f>
        <v>1</v>
      </c>
      <c r="N45" s="0" t="n">
        <f aca="false">TRUE()</f>
        <v>1</v>
      </c>
      <c r="O45" s="0" t="n">
        <f aca="false">TRUE()</f>
        <v>1</v>
      </c>
      <c r="P45" s="213" t="s">
        <v>1746</v>
      </c>
      <c r="Q45" s="213" t="s">
        <v>1440</v>
      </c>
      <c r="R45" s="213" t="s">
        <v>1532</v>
      </c>
    </row>
    <row r="46" customFormat="false" ht="14.6" hidden="false" customHeight="false" outlineLevel="0" collapsed="false">
      <c r="B46" s="213" t="s">
        <v>1747</v>
      </c>
      <c r="C46" s="213" t="s">
        <v>222</v>
      </c>
      <c r="D46" s="213" t="n">
        <v>2</v>
      </c>
      <c r="E46" s="219" t="n">
        <v>43770</v>
      </c>
      <c r="F46" s="219" t="n">
        <v>43768.5541666667</v>
      </c>
      <c r="G46" s="219" t="n">
        <v>43768.6319444445</v>
      </c>
      <c r="H46" s="213" t="s">
        <v>1503</v>
      </c>
      <c r="I46" s="213" t="s">
        <v>1748</v>
      </c>
      <c r="J46" s="213" t="s">
        <v>1749</v>
      </c>
      <c r="K46" s="213" t="s">
        <v>1750</v>
      </c>
      <c r="L46" s="213" t="n">
        <f aca="false">FALSE()</f>
        <v>0</v>
      </c>
      <c r="M46" s="0" t="n">
        <f aca="false">TRUE()</f>
        <v>1</v>
      </c>
      <c r="N46" s="0" t="n">
        <f aca="false">TRUE()</f>
        <v>1</v>
      </c>
      <c r="O46" s="0" t="n">
        <f aca="false">TRUE()</f>
        <v>1</v>
      </c>
      <c r="P46" s="213" t="s">
        <v>1441</v>
      </c>
      <c r="Q46" s="213" t="s">
        <v>1446</v>
      </c>
      <c r="R46" s="213" t="s">
        <v>1507</v>
      </c>
    </row>
    <row r="47" customFormat="false" ht="14.6" hidden="false" customHeight="false" outlineLevel="0" collapsed="false">
      <c r="B47" s="213" t="s">
        <v>1751</v>
      </c>
      <c r="C47" s="213" t="s">
        <v>1752</v>
      </c>
      <c r="D47" s="213" t="n">
        <v>1</v>
      </c>
      <c r="E47" s="219" t="n">
        <v>43782</v>
      </c>
      <c r="F47" s="219" t="n">
        <v>43782.5104166667</v>
      </c>
      <c r="G47" s="219" t="n">
        <v>43782.6145833333</v>
      </c>
      <c r="H47" s="213" t="s">
        <v>1753</v>
      </c>
      <c r="I47" s="221" t="s">
        <v>1754</v>
      </c>
      <c r="J47" s="213" t="s">
        <v>1755</v>
      </c>
      <c r="K47" s="213" t="s">
        <v>1756</v>
      </c>
      <c r="L47" s="213" t="n">
        <f aca="false">TRUE()</f>
        <v>1</v>
      </c>
      <c r="M47" s="0" t="n">
        <f aca="false">TRUE()</f>
        <v>1</v>
      </c>
      <c r="N47" s="0" t="n">
        <f aca="false">TRUE()</f>
        <v>1</v>
      </c>
      <c r="O47" s="0" t="n">
        <f aca="false">TRUE()</f>
        <v>1</v>
      </c>
      <c r="P47" s="213" t="s">
        <v>1757</v>
      </c>
      <c r="Q47" s="213" t="s">
        <v>1446</v>
      </c>
      <c r="R47" s="213" t="s">
        <v>1501</v>
      </c>
    </row>
    <row r="48" customFormat="false" ht="14.6" hidden="false" customHeight="false" outlineLevel="0" collapsed="false">
      <c r="B48" s="213" t="s">
        <v>1758</v>
      </c>
      <c r="C48" s="213" t="s">
        <v>1470</v>
      </c>
      <c r="D48" s="213" t="n">
        <v>2</v>
      </c>
      <c r="E48" s="219" t="n">
        <v>43787</v>
      </c>
      <c r="F48" s="219" t="n">
        <v>43787.7395833333</v>
      </c>
      <c r="G48" s="219" t="n">
        <v>43787.7604166667</v>
      </c>
      <c r="H48" s="213" t="s">
        <v>1759</v>
      </c>
      <c r="I48" s="213" t="s">
        <v>1760</v>
      </c>
      <c r="J48" s="213" t="s">
        <v>1761</v>
      </c>
      <c r="K48" s="213" t="s">
        <v>1762</v>
      </c>
      <c r="L48" s="213" t="n">
        <f aca="false">FALSE()</f>
        <v>0</v>
      </c>
      <c r="M48" s="0" t="n">
        <f aca="false">FALSE()</f>
        <v>0</v>
      </c>
      <c r="N48" s="0" t="n">
        <f aca="false">TRUE()</f>
        <v>1</v>
      </c>
      <c r="O48" s="0" t="n">
        <f aca="false">FALSE()</f>
        <v>0</v>
      </c>
      <c r="P48" s="213" t="s">
        <v>1763</v>
      </c>
      <c r="Q48" s="213" t="s">
        <v>1446</v>
      </c>
      <c r="R48" s="213" t="s">
        <v>1501</v>
      </c>
    </row>
    <row r="49" customFormat="false" ht="14.6" hidden="false" customHeight="false" outlineLevel="0" collapsed="false">
      <c r="B49" s="213" t="s">
        <v>1764</v>
      </c>
      <c r="C49" s="213" t="s">
        <v>1447</v>
      </c>
      <c r="D49" s="213" t="n">
        <v>2</v>
      </c>
      <c r="E49" s="219" t="n">
        <v>43797</v>
      </c>
      <c r="F49" s="219" t="n">
        <v>43790.125</v>
      </c>
      <c r="G49" s="219" t="n">
        <v>43790.6458333333</v>
      </c>
      <c r="H49" s="213" t="s">
        <v>1765</v>
      </c>
      <c r="I49" s="221" t="s">
        <v>1766</v>
      </c>
      <c r="J49" s="213" t="s">
        <v>1767</v>
      </c>
      <c r="K49" s="213" t="s">
        <v>1768</v>
      </c>
      <c r="L49" s="213" t="n">
        <f aca="false">FALSE()</f>
        <v>0</v>
      </c>
      <c r="M49" s="0" t="n">
        <f aca="false">TRUE()</f>
        <v>1</v>
      </c>
      <c r="N49" s="0" t="n">
        <f aca="false">TRUE()</f>
        <v>1</v>
      </c>
      <c r="O49" s="0" t="n">
        <f aca="false">TRUE()</f>
        <v>1</v>
      </c>
      <c r="P49" s="213" t="s">
        <v>1448</v>
      </c>
      <c r="Q49" s="213" t="s">
        <v>1446</v>
      </c>
      <c r="R49" s="213" t="s">
        <v>1507</v>
      </c>
    </row>
    <row r="50" customFormat="false" ht="14.6" hidden="false" customHeight="false" outlineLevel="0" collapsed="false">
      <c r="B50" s="213" t="s">
        <v>1769</v>
      </c>
      <c r="C50" s="213" t="s">
        <v>1770</v>
      </c>
      <c r="D50" s="213" t="n">
        <v>2</v>
      </c>
      <c r="E50" s="219" t="n">
        <v>43794</v>
      </c>
      <c r="F50" s="219" t="n">
        <v>43790.3715277778</v>
      </c>
      <c r="G50" s="219" t="n">
        <v>43790.7916666667</v>
      </c>
      <c r="H50" s="213" t="s">
        <v>1771</v>
      </c>
      <c r="I50" s="221" t="s">
        <v>1772</v>
      </c>
      <c r="J50" s="213" t="s">
        <v>1773</v>
      </c>
      <c r="K50" s="213" t="s">
        <v>1774</v>
      </c>
      <c r="L50" s="213" t="n">
        <f aca="false">FALSE()</f>
        <v>0</v>
      </c>
      <c r="M50" s="0" t="n">
        <f aca="false">FALSE()</f>
        <v>0</v>
      </c>
      <c r="N50" s="0" t="n">
        <f aca="false">TRUE()</f>
        <v>1</v>
      </c>
      <c r="O50" s="0" t="n">
        <f aca="false">TRUE()</f>
        <v>1</v>
      </c>
      <c r="P50" s="213" t="s">
        <v>1775</v>
      </c>
      <c r="Q50" s="213" t="s">
        <v>1446</v>
      </c>
      <c r="R50" s="213" t="s">
        <v>1514</v>
      </c>
    </row>
    <row r="51" customFormat="false" ht="14.6" hidden="false" customHeight="false" outlineLevel="0" collapsed="false">
      <c r="B51" s="213" t="s">
        <v>1776</v>
      </c>
      <c r="C51" s="213" t="s">
        <v>222</v>
      </c>
      <c r="D51" s="213" t="n">
        <v>2</v>
      </c>
      <c r="E51" s="219" t="n">
        <v>43790</v>
      </c>
      <c r="F51" s="219" t="n">
        <v>43790.5833333333</v>
      </c>
      <c r="G51" s="219" t="n">
        <v>43790.6458333333</v>
      </c>
      <c r="H51" s="213" t="s">
        <v>1503</v>
      </c>
      <c r="I51" s="213" t="s">
        <v>1748</v>
      </c>
      <c r="J51" s="213" t="s">
        <v>1777</v>
      </c>
      <c r="K51" s="213" t="s">
        <v>1778</v>
      </c>
      <c r="L51" s="213" t="n">
        <f aca="false">FALSE()</f>
        <v>0</v>
      </c>
      <c r="M51" s="0" t="n">
        <f aca="false">TRUE()</f>
        <v>1</v>
      </c>
      <c r="N51" s="0" t="n">
        <f aca="false">TRUE()</f>
        <v>1</v>
      </c>
      <c r="O51" s="0" t="n">
        <f aca="false">TRUE()</f>
        <v>1</v>
      </c>
      <c r="P51" s="213" t="s">
        <v>1452</v>
      </c>
      <c r="Q51" s="213" t="s">
        <v>1446</v>
      </c>
      <c r="R51" s="213" t="s">
        <v>1507</v>
      </c>
    </row>
    <row r="52" customFormat="false" ht="14.6" hidden="false" customHeight="false" outlineLevel="0" collapsed="false">
      <c r="B52" s="213" t="s">
        <v>1779</v>
      </c>
      <c r="C52" s="213" t="s">
        <v>1425</v>
      </c>
      <c r="D52" s="213" t="n">
        <v>2</v>
      </c>
      <c r="E52" s="219" t="n">
        <v>43794</v>
      </c>
      <c r="F52" s="219" t="n">
        <v>43791.1277777778</v>
      </c>
      <c r="G52" s="219" t="n">
        <v>43791.6819444444</v>
      </c>
      <c r="H52" s="213" t="s">
        <v>1780</v>
      </c>
      <c r="I52" s="221" t="s">
        <v>1781</v>
      </c>
      <c r="J52" s="213" t="s">
        <v>1782</v>
      </c>
      <c r="K52" s="213" t="s">
        <v>1783</v>
      </c>
      <c r="L52" s="213" t="n">
        <f aca="false">FALSE()</f>
        <v>0</v>
      </c>
      <c r="M52" s="0" t="n">
        <f aca="false">TRUE()</f>
        <v>1</v>
      </c>
      <c r="N52" s="0" t="n">
        <f aca="false">TRUE()</f>
        <v>1</v>
      </c>
      <c r="O52" s="0" t="n">
        <f aca="false">TRUE()</f>
        <v>1</v>
      </c>
      <c r="P52" s="213" t="s">
        <v>1784</v>
      </c>
      <c r="Q52" s="213" t="s">
        <v>1446</v>
      </c>
      <c r="R52" s="213" t="s">
        <v>1514</v>
      </c>
    </row>
    <row r="53" customFormat="false" ht="14.6" hidden="false" customHeight="false" outlineLevel="0" collapsed="false">
      <c r="B53" s="213" t="s">
        <v>1785</v>
      </c>
      <c r="C53" s="213" t="s">
        <v>1786</v>
      </c>
      <c r="D53" s="213" t="n">
        <v>2</v>
      </c>
      <c r="E53" s="219" t="n">
        <v>43794</v>
      </c>
      <c r="F53" s="219" t="n">
        <v>43794.5590277778</v>
      </c>
      <c r="G53" s="219" t="n">
        <v>43794.5868055556</v>
      </c>
      <c r="H53" s="213" t="s">
        <v>1787</v>
      </c>
      <c r="I53" s="213" t="s">
        <v>1788</v>
      </c>
      <c r="J53" s="213" t="s">
        <v>1789</v>
      </c>
      <c r="K53" s="213" t="s">
        <v>1790</v>
      </c>
      <c r="L53" s="213" t="n">
        <f aca="false">TRUE()</f>
        <v>1</v>
      </c>
      <c r="M53" s="0" t="n">
        <f aca="false">FALSE()</f>
        <v>0</v>
      </c>
      <c r="N53" s="0" t="n">
        <f aca="false">TRUE()</f>
        <v>1</v>
      </c>
      <c r="O53" s="0" t="n">
        <f aca="false">TRUE()</f>
        <v>1</v>
      </c>
      <c r="P53" s="213" t="s">
        <v>1791</v>
      </c>
      <c r="Q53" s="213" t="s">
        <v>1446</v>
      </c>
      <c r="R53" s="213" t="s">
        <v>1539</v>
      </c>
    </row>
    <row r="54" customFormat="false" ht="14.6" hidden="false" customHeight="false" outlineLevel="0" collapsed="false">
      <c r="B54" s="213" t="s">
        <v>1792</v>
      </c>
      <c r="C54" s="213" t="s">
        <v>1470</v>
      </c>
      <c r="D54" s="213" t="n">
        <v>2</v>
      </c>
      <c r="E54" s="219" t="n">
        <v>43795</v>
      </c>
      <c r="F54" s="219" t="n">
        <v>43795.4305555556</v>
      </c>
      <c r="G54" s="219" t="n">
        <v>43795.5763888889</v>
      </c>
      <c r="H54" s="213" t="s">
        <v>1709</v>
      </c>
      <c r="I54" s="213" t="s">
        <v>1793</v>
      </c>
      <c r="J54" s="213" t="s">
        <v>1794</v>
      </c>
      <c r="K54" s="213" t="s">
        <v>1795</v>
      </c>
      <c r="L54" s="213" t="n">
        <f aca="false">FALSE()</f>
        <v>0</v>
      </c>
      <c r="M54" s="0" t="n">
        <f aca="false">FALSE()</f>
        <v>0</v>
      </c>
      <c r="N54" s="0" t="n">
        <f aca="false">TRUE()</f>
        <v>1</v>
      </c>
      <c r="O54" s="0" t="n">
        <f aca="false">FALSE()</f>
        <v>0</v>
      </c>
      <c r="P54" s="213" t="s">
        <v>1796</v>
      </c>
      <c r="Q54" s="213" t="s">
        <v>1446</v>
      </c>
      <c r="R54" s="213" t="s">
        <v>1501</v>
      </c>
    </row>
    <row r="55" customFormat="false" ht="14.6" hidden="false" customHeight="false" outlineLevel="0" collapsed="false">
      <c r="B55" s="213" t="s">
        <v>1797</v>
      </c>
      <c r="C55" s="213" t="s">
        <v>1798</v>
      </c>
      <c r="D55" s="213" t="n">
        <v>2</v>
      </c>
      <c r="E55" s="219" t="n">
        <v>43801</v>
      </c>
      <c r="F55" s="219" t="n">
        <v>43797.4694444444</v>
      </c>
      <c r="G55" s="219" t="n">
        <v>43797.4902777778</v>
      </c>
      <c r="H55" s="213" t="s">
        <v>1799</v>
      </c>
      <c r="I55" s="213" t="s">
        <v>1800</v>
      </c>
      <c r="J55" s="221" t="s">
        <v>1801</v>
      </c>
      <c r="K55" s="221" t="s">
        <v>1802</v>
      </c>
      <c r="L55" s="213" t="n">
        <f aca="false">TRUE()</f>
        <v>1</v>
      </c>
      <c r="M55" s="0" t="n">
        <f aca="false">TRUE()</f>
        <v>1</v>
      </c>
      <c r="N55" s="0" t="n">
        <f aca="false">TRUE()</f>
        <v>1</v>
      </c>
      <c r="O55" s="0" t="n">
        <f aca="false">TRUE()</f>
        <v>1</v>
      </c>
      <c r="P55" s="213" t="s">
        <v>1763</v>
      </c>
      <c r="Q55" s="213" t="s">
        <v>1454</v>
      </c>
      <c r="R55" s="213" t="s">
        <v>1539</v>
      </c>
    </row>
    <row r="56" customFormat="false" ht="14.6" hidden="false" customHeight="false" outlineLevel="0" collapsed="false">
      <c r="B56" s="213" t="s">
        <v>1803</v>
      </c>
      <c r="C56" s="213" t="s">
        <v>1804</v>
      </c>
      <c r="D56" s="213" t="n">
        <v>1</v>
      </c>
      <c r="E56" s="219" t="n">
        <v>43802</v>
      </c>
      <c r="F56" s="219" t="n">
        <v>43802.5583333333</v>
      </c>
      <c r="G56" s="219" t="n">
        <v>43802.5652777778</v>
      </c>
      <c r="H56" s="213" t="s">
        <v>1805</v>
      </c>
      <c r="I56" s="221" t="s">
        <v>1806</v>
      </c>
      <c r="J56" s="213" t="s">
        <v>1807</v>
      </c>
      <c r="K56" s="213" t="s">
        <v>1808</v>
      </c>
      <c r="L56" s="213" t="n">
        <f aca="false">TRUE()</f>
        <v>1</v>
      </c>
      <c r="M56" s="0" t="n">
        <f aca="false">TRUE()</f>
        <v>1</v>
      </c>
      <c r="N56" s="0" t="n">
        <f aca="false">TRUE()</f>
        <v>1</v>
      </c>
      <c r="O56" s="0" t="n">
        <f aca="false">TRUE()</f>
        <v>1</v>
      </c>
      <c r="P56" s="213" t="s">
        <v>1809</v>
      </c>
      <c r="Q56" s="213" t="s">
        <v>1454</v>
      </c>
      <c r="R56" s="213" t="s">
        <v>1539</v>
      </c>
    </row>
    <row r="57" customFormat="false" ht="14.6" hidden="false" customHeight="false" outlineLevel="0" collapsed="false">
      <c r="B57" s="213" t="s">
        <v>1810</v>
      </c>
      <c r="C57" s="213" t="s">
        <v>1811</v>
      </c>
      <c r="D57" s="213" t="n">
        <v>2</v>
      </c>
      <c r="E57" s="219" t="n">
        <v>43809</v>
      </c>
      <c r="F57" s="219" t="n">
        <v>43804.29375</v>
      </c>
      <c r="G57" s="219" t="n">
        <v>43804.6006944444</v>
      </c>
      <c r="H57" s="213" t="s">
        <v>1812</v>
      </c>
      <c r="I57" s="221" t="s">
        <v>1813</v>
      </c>
      <c r="J57" s="213" t="s">
        <v>1814</v>
      </c>
      <c r="K57" s="213" t="s">
        <v>1815</v>
      </c>
      <c r="L57" s="213" t="n">
        <f aca="false">FALSE()</f>
        <v>0</v>
      </c>
      <c r="M57" s="0" t="n">
        <f aca="false">FALSE()</f>
        <v>0</v>
      </c>
      <c r="N57" s="0" t="n">
        <f aca="false">TRUE()</f>
        <v>1</v>
      </c>
      <c r="O57" s="0" t="n">
        <f aca="false">TRUE()</f>
        <v>1</v>
      </c>
      <c r="P57" s="213" t="s">
        <v>1816</v>
      </c>
      <c r="Q57" s="213" t="s">
        <v>1454</v>
      </c>
      <c r="R57" s="213" t="s">
        <v>1514</v>
      </c>
    </row>
    <row r="58" customFormat="false" ht="14.6" hidden="false" customHeight="false" outlineLevel="0" collapsed="false">
      <c r="B58" s="213" t="s">
        <v>1817</v>
      </c>
      <c r="C58" s="213" t="s">
        <v>1818</v>
      </c>
      <c r="D58" s="213" t="n">
        <v>2</v>
      </c>
      <c r="E58" s="219" t="n">
        <v>43815</v>
      </c>
      <c r="F58" s="219" t="n">
        <v>43815.4534722222</v>
      </c>
      <c r="G58" s="219" t="n">
        <v>43815.5138888889</v>
      </c>
      <c r="H58" s="213" t="s">
        <v>1819</v>
      </c>
      <c r="I58" s="221" t="s">
        <v>1820</v>
      </c>
      <c r="J58" s="213" t="s">
        <v>1821</v>
      </c>
      <c r="K58" s="213" t="s">
        <v>1822</v>
      </c>
      <c r="L58" s="213" t="n">
        <f aca="false">TRUE()</f>
        <v>1</v>
      </c>
      <c r="M58" s="0" t="n">
        <f aca="false">FALSE()</f>
        <v>0</v>
      </c>
      <c r="N58" s="0" t="n">
        <f aca="false">TRUE()</f>
        <v>1</v>
      </c>
      <c r="O58" s="0" t="n">
        <f aca="false">TRUE()</f>
        <v>1</v>
      </c>
      <c r="P58" s="213" t="s">
        <v>1823</v>
      </c>
      <c r="Q58" s="213" t="s">
        <v>1454</v>
      </c>
      <c r="R58" s="213" t="s">
        <v>1507</v>
      </c>
    </row>
    <row r="59" customFormat="false" ht="14.6" hidden="false" customHeight="false" outlineLevel="0" collapsed="false">
      <c r="B59" s="213" t="s">
        <v>1824</v>
      </c>
      <c r="C59" s="213" t="s">
        <v>1455</v>
      </c>
      <c r="D59" s="213" t="n">
        <v>2</v>
      </c>
      <c r="E59" s="219" t="n">
        <v>43816</v>
      </c>
      <c r="F59" s="219" t="n">
        <v>43816.5402777778</v>
      </c>
      <c r="G59" s="219" t="n">
        <v>43816.6298611111</v>
      </c>
      <c r="H59" s="213" t="s">
        <v>1825</v>
      </c>
      <c r="I59" s="213" t="s">
        <v>1826</v>
      </c>
      <c r="J59" s="213" t="s">
        <v>1827</v>
      </c>
      <c r="K59" s="213" t="s">
        <v>1828</v>
      </c>
      <c r="L59" s="213" t="n">
        <f aca="false">FALSE()</f>
        <v>0</v>
      </c>
      <c r="M59" s="0" t="n">
        <f aca="false">FALSE()</f>
        <v>0</v>
      </c>
      <c r="N59" s="0" t="n">
        <f aca="false">TRUE()</f>
        <v>1</v>
      </c>
      <c r="O59" s="0" t="n">
        <f aca="false">FALSE()</f>
        <v>0</v>
      </c>
      <c r="P59" s="213" t="s">
        <v>1456</v>
      </c>
      <c r="Q59" s="213" t="s">
        <v>1454</v>
      </c>
      <c r="R59" s="213" t="s">
        <v>1507</v>
      </c>
    </row>
    <row r="60" customFormat="false" ht="14.6" hidden="false" customHeight="false" outlineLevel="0" collapsed="false">
      <c r="B60" s="213" t="s">
        <v>1829</v>
      </c>
      <c r="C60" s="213" t="s">
        <v>1429</v>
      </c>
      <c r="D60" s="213" t="n">
        <v>2</v>
      </c>
      <c r="E60" s="219" t="n">
        <v>43825</v>
      </c>
      <c r="F60" s="219" t="n">
        <v>43825.4722222222</v>
      </c>
      <c r="G60" s="219" t="n">
        <v>43825.6145833333</v>
      </c>
      <c r="H60" s="213" t="s">
        <v>1830</v>
      </c>
      <c r="I60" s="221" t="s">
        <v>1831</v>
      </c>
      <c r="J60" s="213" t="s">
        <v>1832</v>
      </c>
      <c r="K60" s="213" t="s">
        <v>1833</v>
      </c>
      <c r="L60" s="213" t="n">
        <f aca="false">TRUE()</f>
        <v>1</v>
      </c>
      <c r="M60" s="0" t="n">
        <f aca="false">TRUE()</f>
        <v>1</v>
      </c>
      <c r="N60" s="0" t="n">
        <f aca="false">TRUE()</f>
        <v>1</v>
      </c>
      <c r="O60" s="0" t="n">
        <f aca="false">TRUE()</f>
        <v>1</v>
      </c>
      <c r="P60" s="213" t="s">
        <v>1834</v>
      </c>
      <c r="Q60" s="213" t="s">
        <v>1454</v>
      </c>
      <c r="R60" s="213" t="s">
        <v>1539</v>
      </c>
    </row>
    <row r="61" customFormat="false" ht="14.6" hidden="false" customHeight="false" outlineLevel="0" collapsed="false">
      <c r="B61" s="213" t="s">
        <v>1835</v>
      </c>
      <c r="C61" s="213" t="s">
        <v>1836</v>
      </c>
      <c r="D61" s="213" t="n">
        <v>2</v>
      </c>
      <c r="E61" s="219" t="n">
        <v>43826</v>
      </c>
      <c r="F61" s="219" t="n">
        <v>43826.5763888889</v>
      </c>
      <c r="G61" s="219" t="n">
        <v>43826.7861111111</v>
      </c>
      <c r="H61" s="213" t="s">
        <v>1837</v>
      </c>
      <c r="I61" s="213" t="s">
        <v>1838</v>
      </c>
      <c r="J61" s="213" t="s">
        <v>1839</v>
      </c>
      <c r="K61" s="213" t="s">
        <v>1840</v>
      </c>
      <c r="L61" s="213" t="n">
        <f aca="false">TRUE()</f>
        <v>1</v>
      </c>
      <c r="M61" s="0" t="n">
        <f aca="false">TRUE()</f>
        <v>1</v>
      </c>
      <c r="N61" s="0" t="n">
        <f aca="false">TRUE()</f>
        <v>1</v>
      </c>
      <c r="O61" s="0" t="n">
        <f aca="false">TRUE()</f>
        <v>1</v>
      </c>
      <c r="P61" s="213" t="s">
        <v>1841</v>
      </c>
      <c r="Q61" s="213" t="s">
        <v>1454</v>
      </c>
      <c r="R61" s="213" t="s">
        <v>1501</v>
      </c>
    </row>
    <row r="62" customFormat="false" ht="14.6" hidden="false" customHeight="false" outlineLevel="0" collapsed="false">
      <c r="B62" s="213" t="s">
        <v>1842</v>
      </c>
      <c r="C62" s="213" t="s">
        <v>1470</v>
      </c>
      <c r="D62" s="213" t="n">
        <v>2</v>
      </c>
      <c r="E62" s="219" t="n">
        <v>43828</v>
      </c>
      <c r="F62" s="219" t="n">
        <v>43828.8972222222</v>
      </c>
      <c r="G62" s="219" t="n">
        <v>43828.9284722222</v>
      </c>
      <c r="H62" s="213" t="s">
        <v>1759</v>
      </c>
      <c r="I62" s="213" t="s">
        <v>1760</v>
      </c>
      <c r="J62" s="213" t="s">
        <v>1843</v>
      </c>
      <c r="K62" s="213" t="s">
        <v>1762</v>
      </c>
      <c r="L62" s="213" t="n">
        <f aca="false">FALSE()</f>
        <v>0</v>
      </c>
      <c r="M62" s="0" t="n">
        <f aca="false">FALSE()</f>
        <v>0</v>
      </c>
      <c r="N62" s="0" t="n">
        <f aca="false">TRUE()</f>
        <v>1</v>
      </c>
      <c r="O62" s="0" t="n">
        <f aca="false">FALSE()</f>
        <v>0</v>
      </c>
      <c r="P62" s="213" t="s">
        <v>1844</v>
      </c>
      <c r="Q62" s="213" t="s">
        <v>1454</v>
      </c>
      <c r="R62" s="213" t="s">
        <v>1501</v>
      </c>
    </row>
    <row r="63" customFormat="false" ht="14.6" hidden="false" customHeight="false" outlineLevel="0" collapsed="false">
      <c r="B63" s="213" t="s">
        <v>1845</v>
      </c>
      <c r="C63" s="213" t="s">
        <v>1715</v>
      </c>
      <c r="D63" s="213" t="n">
        <v>2</v>
      </c>
      <c r="E63" s="219" t="n">
        <v>43837</v>
      </c>
      <c r="F63" s="219" t="n">
        <v>43833.7361111111</v>
      </c>
      <c r="G63" s="219" t="n">
        <v>43833.7895833333</v>
      </c>
      <c r="H63" s="213" t="s">
        <v>1716</v>
      </c>
      <c r="I63" s="221" t="s">
        <v>1846</v>
      </c>
      <c r="J63" s="213" t="s">
        <v>1847</v>
      </c>
      <c r="K63" s="213" t="s">
        <v>1848</v>
      </c>
      <c r="L63" s="213" t="n">
        <f aca="false">TRUE()</f>
        <v>1</v>
      </c>
      <c r="M63" s="0" t="n">
        <f aca="false">TRUE()</f>
        <v>1</v>
      </c>
      <c r="N63" s="0" t="n">
        <f aca="false">TRUE()</f>
        <v>1</v>
      </c>
      <c r="O63" s="0" t="n">
        <f aca="false">TRUE()</f>
        <v>1</v>
      </c>
      <c r="P63" s="213" t="s">
        <v>1679</v>
      </c>
      <c r="Q63" s="213" t="s">
        <v>1460</v>
      </c>
      <c r="R63" s="213" t="s">
        <v>1532</v>
      </c>
    </row>
    <row r="64" customFormat="false" ht="14.6" hidden="false" customHeight="false" outlineLevel="0" collapsed="false">
      <c r="B64" s="213" t="s">
        <v>1849</v>
      </c>
      <c r="C64" s="213" t="s">
        <v>1850</v>
      </c>
      <c r="D64" s="213" t="n">
        <v>2</v>
      </c>
      <c r="E64" s="219" t="n">
        <v>43838</v>
      </c>
      <c r="F64" s="219" t="n">
        <v>43838.1215277778</v>
      </c>
      <c r="G64" s="219" t="n">
        <v>43838.3965277778</v>
      </c>
      <c r="H64" s="213" t="s">
        <v>1851</v>
      </c>
      <c r="I64" s="221" t="s">
        <v>1852</v>
      </c>
      <c r="J64" s="213" t="s">
        <v>1853</v>
      </c>
      <c r="K64" s="213" t="s">
        <v>1854</v>
      </c>
      <c r="L64" s="213" t="n">
        <f aca="false">FALSE()</f>
        <v>0</v>
      </c>
      <c r="M64" s="0" t="n">
        <f aca="false">FALSE()</f>
        <v>0</v>
      </c>
      <c r="N64" s="0" t="n">
        <f aca="false">TRUE()</f>
        <v>1</v>
      </c>
      <c r="O64" s="0" t="n">
        <f aca="false">TRUE()</f>
        <v>1</v>
      </c>
      <c r="P64" s="213" t="s">
        <v>1855</v>
      </c>
      <c r="Q64" s="213" t="s">
        <v>1460</v>
      </c>
      <c r="R64" s="213" t="s">
        <v>1507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s>
</worksheet>
</file>

<file path=xl/worksheets/sheet32.xml><?xml version="1.0" encoding="utf-8"?>
<worksheet xmlns="http://schemas.openxmlformats.org/spreadsheetml/2006/main" xmlns:r="http://schemas.openxmlformats.org/officeDocument/2006/relationships">
  <sheetPr filterMode="false">
    <tabColor rgb="FF00B050"/>
    <pageSetUpPr fitToPage="false"/>
  </sheetPr>
  <dimension ref="A1:D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6" zeroHeight="false" outlineLevelRow="0" outlineLevelCol="0"/>
  <cols>
    <col collapsed="false" customWidth="true" hidden="false" outlineLevel="0" max="1" min="1" style="0" width="86.77"/>
    <col collapsed="false" customWidth="true" hidden="false" outlineLevel="0" max="2" min="2" style="0" width="14.93"/>
    <col collapsed="false" customWidth="true" hidden="false" outlineLevel="0" max="3" min="3" style="0" width="50.53"/>
    <col collapsed="false" customWidth="true" hidden="false" outlineLevel="0" max="4" min="4" style="0" width="28.92"/>
    <col collapsed="false" customWidth="true" hidden="false" outlineLevel="0" max="1025" min="5" style="0" width="8.75"/>
  </cols>
  <sheetData>
    <row r="1" customFormat="false" ht="14.6" hidden="false" customHeight="false" outlineLevel="0" collapsed="false">
      <c r="A1" s="222" t="s">
        <v>1856</v>
      </c>
      <c r="C1" s="0" t="s">
        <v>1857</v>
      </c>
    </row>
    <row r="2" customFormat="false" ht="14.6" hidden="false" customHeight="false" outlineLevel="0" collapsed="false">
      <c r="A2" s="223" t="s">
        <v>1858</v>
      </c>
      <c r="C2" s="0" t="s">
        <v>1859</v>
      </c>
    </row>
    <row r="3" customFormat="false" ht="14.6" hidden="false" customHeight="false" outlineLevel="0" collapsed="false">
      <c r="A3" s="223" t="s">
        <v>1860</v>
      </c>
    </row>
    <row r="4" customFormat="false" ht="14.6" hidden="false" customHeight="false" outlineLevel="0" collapsed="false">
      <c r="A4" s="223" t="s">
        <v>1861</v>
      </c>
    </row>
    <row r="5" customFormat="false" ht="14.6" hidden="false" customHeight="false" outlineLevel="0" collapsed="false">
      <c r="A5" s="223" t="s">
        <v>1862</v>
      </c>
    </row>
    <row r="6" customFormat="false" ht="14.6" hidden="false" customHeight="false" outlineLevel="0" collapsed="false">
      <c r="A6" s="223" t="s">
        <v>1863</v>
      </c>
    </row>
    <row r="7" customFormat="false" ht="14.6" hidden="false" customHeight="false" outlineLevel="0" collapsed="false">
      <c r="A7" s="223" t="s">
        <v>1864</v>
      </c>
    </row>
    <row r="8" customFormat="false" ht="14.6" hidden="false" customHeight="false" outlineLevel="0" collapsed="false">
      <c r="A8" s="223"/>
    </row>
    <row r="10" customFormat="false" ht="14.6" hidden="false" customHeight="false" outlineLevel="0" collapsed="false">
      <c r="A10" s="224" t="s">
        <v>1865</v>
      </c>
    </row>
    <row r="11" customFormat="false" ht="14.6" hidden="false" customHeight="false" outlineLevel="0" collapsed="false">
      <c r="A11" s="223" t="s">
        <v>1866</v>
      </c>
    </row>
    <row r="12" customFormat="false" ht="14.6" hidden="false" customHeight="false" outlineLevel="0" collapsed="false">
      <c r="A12" s="223" t="s">
        <v>1867</v>
      </c>
      <c r="B12" s="0" t="s">
        <v>1868</v>
      </c>
      <c r="C12" s="0" t="s">
        <v>1869</v>
      </c>
      <c r="D12" s="90" t="s">
        <v>1870</v>
      </c>
    </row>
    <row r="13" customFormat="false" ht="14.6" hidden="false" customHeight="false" outlineLevel="0" collapsed="false">
      <c r="B13" s="0" t="s">
        <v>1871</v>
      </c>
      <c r="C13" s="0" t="s">
        <v>1872</v>
      </c>
      <c r="D13" s="0" t="s">
        <v>1873</v>
      </c>
    </row>
    <row r="14" customFormat="false" ht="14.6" hidden="false" customHeight="false" outlineLevel="0" collapsed="false">
      <c r="B14" s="0" t="s">
        <v>1874</v>
      </c>
      <c r="C14" s="0" t="s">
        <v>1875</v>
      </c>
    </row>
    <row r="15" customFormat="false" ht="14.6" hidden="false" customHeight="false" outlineLevel="0" collapsed="false">
      <c r="C15" s="0" t="s">
        <v>1876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A1:D42"/>
  <sheetViews>
    <sheetView showFormulas="false" showGridLines="true" showRowColHeaders="true" showZeros="true" rightToLeft="false" tabSelected="false" showOutlineSymbols="true" defaultGridColor="true" view="normal" topLeftCell="A16" colorId="64" zoomScale="100" zoomScaleNormal="100" zoomScalePageLayoutView="100" workbookViewId="0">
      <selection pane="topLeft" activeCell="B28" activeCellId="0" sqref="B28"/>
    </sheetView>
  </sheetViews>
  <sheetFormatPr defaultRowHeight="14.6" zeroHeight="false" outlineLevelRow="0" outlineLevelCol="0"/>
  <cols>
    <col collapsed="false" customWidth="true" hidden="false" outlineLevel="0" max="1" min="1" style="0" width="41.76"/>
    <col collapsed="false" customWidth="true" hidden="false" outlineLevel="0" max="2" min="2" style="0" width="17.07"/>
    <col collapsed="false" customWidth="true" hidden="false" outlineLevel="0" max="1025" min="3" style="0" width="8.75"/>
  </cols>
  <sheetData>
    <row r="1" customFormat="false" ht="14.6" hidden="false" customHeight="false" outlineLevel="0" collapsed="false">
      <c r="A1" s="0" t="s">
        <v>1877</v>
      </c>
    </row>
    <row r="2" customFormat="false" ht="14.6" hidden="false" customHeight="false" outlineLevel="0" collapsed="false">
      <c r="A2" s="0" t="s">
        <v>1878</v>
      </c>
      <c r="B2" s="0" t="s">
        <v>1879</v>
      </c>
    </row>
    <row r="3" customFormat="false" ht="14.6" hidden="false" customHeight="false" outlineLevel="0" collapsed="false">
      <c r="A3" s="0" t="s">
        <v>1880</v>
      </c>
    </row>
    <row r="4" customFormat="false" ht="14.6" hidden="false" customHeight="false" outlineLevel="0" collapsed="false">
      <c r="A4" s="0" t="s">
        <v>1881</v>
      </c>
    </row>
    <row r="7" customFormat="false" ht="14.6" hidden="false" customHeight="false" outlineLevel="0" collapsed="false">
      <c r="A7" s="0" t="s">
        <v>1882</v>
      </c>
    </row>
    <row r="8" customFormat="false" ht="14.6" hidden="false" customHeight="false" outlineLevel="0" collapsed="false">
      <c r="A8" s="0" t="s">
        <v>1883</v>
      </c>
    </row>
    <row r="9" customFormat="false" ht="14.6" hidden="false" customHeight="false" outlineLevel="0" collapsed="false">
      <c r="A9" s="0" t="s">
        <v>1884</v>
      </c>
    </row>
    <row r="11" customFormat="false" ht="14.6" hidden="false" customHeight="false" outlineLevel="0" collapsed="false">
      <c r="A11" s="0" t="s">
        <v>1885</v>
      </c>
    </row>
    <row r="12" customFormat="false" ht="14.6" hidden="false" customHeight="false" outlineLevel="0" collapsed="false">
      <c r="A12" s="0" t="s">
        <v>1886</v>
      </c>
    </row>
    <row r="13" customFormat="false" ht="14.6" hidden="false" customHeight="false" outlineLevel="0" collapsed="false">
      <c r="A13" s="0" t="s">
        <v>1887</v>
      </c>
    </row>
    <row r="16" customFormat="false" ht="14.6" hidden="false" customHeight="false" outlineLevel="0" collapsed="false">
      <c r="A16" s="0" t="s">
        <v>1888</v>
      </c>
    </row>
    <row r="17" customFormat="false" ht="14.6" hidden="false" customHeight="false" outlineLevel="0" collapsed="false">
      <c r="A17" s="0" t="s">
        <v>1889</v>
      </c>
      <c r="B17" s="0" t="s">
        <v>1890</v>
      </c>
    </row>
    <row r="18" customFormat="false" ht="14.6" hidden="false" customHeight="false" outlineLevel="0" collapsed="false">
      <c r="A18" s="0" t="s">
        <v>1891</v>
      </c>
      <c r="D18" s="0" t="s">
        <v>1892</v>
      </c>
    </row>
    <row r="19" customFormat="false" ht="14.6" hidden="false" customHeight="false" outlineLevel="0" collapsed="false">
      <c r="A19" s="0" t="s">
        <v>1893</v>
      </c>
    </row>
    <row r="20" customFormat="false" ht="14.6" hidden="false" customHeight="false" outlineLevel="0" collapsed="false">
      <c r="A20" s="0" t="s">
        <v>1894</v>
      </c>
    </row>
    <row r="24" customFormat="false" ht="14.6" hidden="false" customHeight="false" outlineLevel="0" collapsed="false">
      <c r="A24" s="0" t="s">
        <v>1895</v>
      </c>
    </row>
    <row r="25" customFormat="false" ht="14.6" hidden="false" customHeight="false" outlineLevel="0" collapsed="false">
      <c r="A25" s="0" t="s">
        <v>1896</v>
      </c>
    </row>
    <row r="29" customFormat="false" ht="14.6" hidden="false" customHeight="false" outlineLevel="0" collapsed="false">
      <c r="A29" s="0" t="s">
        <v>1897</v>
      </c>
    </row>
    <row r="30" customFormat="false" ht="14.6" hidden="false" customHeight="false" outlineLevel="0" collapsed="false">
      <c r="A30" s="0" t="s">
        <v>1898</v>
      </c>
    </row>
    <row r="32" customFormat="false" ht="14.6" hidden="false" customHeight="false" outlineLevel="0" collapsed="false">
      <c r="A32" s="0" t="s">
        <v>1899</v>
      </c>
    </row>
    <row r="33" customFormat="false" ht="14.6" hidden="false" customHeight="false" outlineLevel="0" collapsed="false">
      <c r="A33" s="0" t="s">
        <v>1900</v>
      </c>
    </row>
    <row r="36" customFormat="false" ht="14.6" hidden="false" customHeight="false" outlineLevel="0" collapsed="false">
      <c r="A36" s="0" t="s">
        <v>1901</v>
      </c>
    </row>
    <row r="37" customFormat="false" ht="14.6" hidden="false" customHeight="false" outlineLevel="0" collapsed="false">
      <c r="A37" s="0" t="s">
        <v>1902</v>
      </c>
    </row>
    <row r="38" customFormat="false" ht="14.6" hidden="false" customHeight="false" outlineLevel="0" collapsed="false">
      <c r="A38" s="0" t="s">
        <v>1903</v>
      </c>
    </row>
    <row r="39" customFormat="false" ht="14.6" hidden="false" customHeight="false" outlineLevel="0" collapsed="false">
      <c r="A39" s="0" t="s">
        <v>1904</v>
      </c>
    </row>
    <row r="40" customFormat="false" ht="14.6" hidden="false" customHeight="false" outlineLevel="0" collapsed="false">
      <c r="A40" s="0" t="s">
        <v>1905</v>
      </c>
    </row>
    <row r="41" customFormat="false" ht="14.6" hidden="false" customHeight="false" outlineLevel="0" collapsed="false">
      <c r="A41" s="0" t="s">
        <v>1906</v>
      </c>
    </row>
    <row r="42" customFormat="false" ht="14.6" hidden="false" customHeight="false" outlineLevel="0" collapsed="false">
      <c r="A42" s="0" t="s">
        <v>1907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A1:F4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9" activeCellId="0" sqref="B19"/>
    </sheetView>
  </sheetViews>
  <sheetFormatPr defaultRowHeight="14.6" zeroHeight="false" outlineLevelRow="0" outlineLevelCol="0"/>
  <cols>
    <col collapsed="false" customWidth="true" hidden="false" outlineLevel="0" max="1" min="1" style="80" width="32"/>
    <col collapsed="false" customWidth="true" hidden="false" outlineLevel="0" max="2" min="2" style="80" width="63.47"/>
    <col collapsed="false" customWidth="true" hidden="false" outlineLevel="0" max="3" min="3" style="80" width="40.23"/>
    <col collapsed="false" customWidth="true" hidden="false" outlineLevel="0" max="4" min="4" style="80" width="38.69"/>
    <col collapsed="false" customWidth="true" hidden="false" outlineLevel="0" max="5" min="5" style="80" width="44.23"/>
    <col collapsed="false" customWidth="true" hidden="false" outlineLevel="0" max="6" min="6" style="0" width="6.15"/>
    <col collapsed="false" customWidth="true" hidden="false" outlineLevel="0" max="1025" min="7" style="0" width="8.75"/>
  </cols>
  <sheetData>
    <row r="1" customFormat="false" ht="14.6" hidden="false" customHeight="false" outlineLevel="0" collapsed="false">
      <c r="B1" s="80" t="s">
        <v>1908</v>
      </c>
      <c r="C1" s="80" t="s">
        <v>1909</v>
      </c>
      <c r="D1" s="80" t="s">
        <v>1910</v>
      </c>
    </row>
    <row r="2" customFormat="false" ht="29.15" hidden="false" customHeight="false" outlineLevel="0" collapsed="false">
      <c r="B2" s="80" t="s">
        <v>1911</v>
      </c>
      <c r="C2" s="130" t="s">
        <v>1912</v>
      </c>
      <c r="D2" s="80" t="s">
        <v>1913</v>
      </c>
      <c r="F2" s="80" t="s">
        <v>1914</v>
      </c>
    </row>
    <row r="3" customFormat="false" ht="14.6" hidden="false" customHeight="false" outlineLevel="0" collapsed="false">
      <c r="D3" s="80" t="s">
        <v>1915</v>
      </c>
      <c r="E3" s="80" t="s">
        <v>1916</v>
      </c>
      <c r="F3" s="0" t="s">
        <v>1917</v>
      </c>
    </row>
    <row r="4" customFormat="false" ht="14.6" hidden="false" customHeight="false" outlineLevel="0" collapsed="false">
      <c r="D4" s="80" t="s">
        <v>1918</v>
      </c>
      <c r="E4" s="80" t="s">
        <v>1919</v>
      </c>
    </row>
    <row r="6" customFormat="false" ht="14.6" hidden="false" customHeight="false" outlineLevel="0" collapsed="false">
      <c r="A6" s="80" t="s">
        <v>1920</v>
      </c>
      <c r="B6" s="80" t="s">
        <v>1921</v>
      </c>
      <c r="C6" s="80" t="s">
        <v>1922</v>
      </c>
      <c r="D6" s="80" t="s">
        <v>1923</v>
      </c>
      <c r="E6" s="80" t="s">
        <v>1924</v>
      </c>
    </row>
    <row r="7" customFormat="false" ht="14.6" hidden="false" customHeight="false" outlineLevel="0" collapsed="false">
      <c r="A7" s="80" t="s">
        <v>1925</v>
      </c>
      <c r="B7" s="80" t="s">
        <v>1917</v>
      </c>
      <c r="C7" s="80" t="s">
        <v>1926</v>
      </c>
      <c r="D7" s="80" t="s">
        <v>1927</v>
      </c>
      <c r="E7" s="80" t="s">
        <v>1928</v>
      </c>
    </row>
    <row r="8" customFormat="false" ht="20.6" hidden="false" customHeight="false" outlineLevel="0" collapsed="false">
      <c r="A8" s="80" t="s">
        <v>1929</v>
      </c>
      <c r="B8" s="80" t="s">
        <v>1930</v>
      </c>
      <c r="C8" s="80" t="s">
        <v>1931</v>
      </c>
      <c r="D8" s="225" t="s">
        <v>1932</v>
      </c>
      <c r="E8" s="80" t="s">
        <v>1933</v>
      </c>
    </row>
    <row r="9" customFormat="false" ht="14.6" hidden="false" customHeight="false" outlineLevel="0" collapsed="false">
      <c r="A9" s="80" t="s">
        <v>1934</v>
      </c>
      <c r="B9" s="80" t="s">
        <v>1935</v>
      </c>
      <c r="C9" s="80" t="s">
        <v>1936</v>
      </c>
      <c r="D9" s="225" t="s">
        <v>1937</v>
      </c>
      <c r="E9" s="80" t="s">
        <v>1933</v>
      </c>
    </row>
    <row r="10" customFormat="false" ht="14.6" hidden="false" customHeight="false" outlineLevel="0" collapsed="false">
      <c r="A10" s="80" t="s">
        <v>1938</v>
      </c>
      <c r="B10" s="80" t="s">
        <v>1939</v>
      </c>
      <c r="C10" s="80" t="s">
        <v>1931</v>
      </c>
      <c r="D10" s="80" t="s">
        <v>1940</v>
      </c>
      <c r="E10" s="80" t="s">
        <v>1933</v>
      </c>
    </row>
    <row r="11" customFormat="false" ht="14.6" hidden="false" customHeight="false" outlineLevel="0" collapsed="false">
      <c r="A11" s="80" t="s">
        <v>1941</v>
      </c>
      <c r="B11" s="199" t="s">
        <v>1942</v>
      </c>
      <c r="C11" s="199" t="s">
        <v>1943</v>
      </c>
      <c r="D11" s="199" t="s">
        <v>1944</v>
      </c>
      <c r="E11" s="199" t="s">
        <v>1943</v>
      </c>
    </row>
    <row r="12" customFormat="false" ht="43.75" hidden="false" customHeight="false" outlineLevel="0" collapsed="false">
      <c r="A12" s="80" t="s">
        <v>1925</v>
      </c>
      <c r="B12" s="80" t="s">
        <v>1945</v>
      </c>
      <c r="C12" s="130" t="s">
        <v>1946</v>
      </c>
      <c r="D12" s="130" t="s">
        <v>1947</v>
      </c>
      <c r="E12" s="80" t="s">
        <v>1948</v>
      </c>
    </row>
    <row r="13" customFormat="false" ht="14.6" hidden="false" customHeight="false" outlineLevel="0" collapsed="false">
      <c r="A13" s="226" t="s">
        <v>1949</v>
      </c>
      <c r="B13" s="226" t="s">
        <v>1942</v>
      </c>
      <c r="C13" s="226" t="s">
        <v>635</v>
      </c>
      <c r="D13" s="226" t="s">
        <v>1950</v>
      </c>
      <c r="E13" s="226" t="s">
        <v>1951</v>
      </c>
    </row>
    <row r="14" customFormat="false" ht="14.6" hidden="false" customHeight="false" outlineLevel="0" collapsed="false">
      <c r="A14" s="80" t="s">
        <v>1952</v>
      </c>
      <c r="B14" s="80" t="s">
        <v>1953</v>
      </c>
      <c r="C14" s="80" t="s">
        <v>1931</v>
      </c>
      <c r="D14" s="80" t="s">
        <v>1954</v>
      </c>
      <c r="E14" s="80" t="s">
        <v>1955</v>
      </c>
    </row>
    <row r="16" customFormat="false" ht="75.9" hidden="false" customHeight="false" outlineLevel="0" collapsed="false">
      <c r="A16" s="80" t="s">
        <v>1935</v>
      </c>
      <c r="B16" s="227" t="s">
        <v>1956</v>
      </c>
    </row>
    <row r="17" customFormat="false" ht="14.6" hidden="false" customHeight="false" outlineLevel="0" collapsed="false">
      <c r="C17" s="80" t="s">
        <v>1957</v>
      </c>
      <c r="D17" s="80" t="s">
        <v>1958</v>
      </c>
    </row>
    <row r="18" customFormat="false" ht="14.6" hidden="false" customHeight="false" outlineLevel="0" collapsed="false">
      <c r="C18" s="80" t="s">
        <v>1959</v>
      </c>
      <c r="D18" s="228" t="n">
        <v>43481</v>
      </c>
    </row>
    <row r="19" customFormat="false" ht="14.6" hidden="false" customHeight="false" outlineLevel="0" collapsed="false">
      <c r="A19" s="80" t="s">
        <v>1960</v>
      </c>
      <c r="B19" s="80" t="s">
        <v>1961</v>
      </c>
    </row>
    <row r="21" customFormat="false" ht="14.6" hidden="false" customHeight="false" outlineLevel="0" collapsed="false">
      <c r="A21" s="80" t="s">
        <v>1962</v>
      </c>
      <c r="B21" s="80" t="s">
        <v>1963</v>
      </c>
    </row>
    <row r="22" customFormat="false" ht="14.6" hidden="false" customHeight="false" outlineLevel="0" collapsed="false">
      <c r="A22" s="229" t="s">
        <v>1964</v>
      </c>
    </row>
    <row r="24" customFormat="false" ht="14.6" hidden="false" customHeight="false" outlineLevel="0" collapsed="false">
      <c r="A24" s="80" t="s">
        <v>1965</v>
      </c>
      <c r="B24" s="80" t="s">
        <v>1966</v>
      </c>
    </row>
    <row r="25" customFormat="false" ht="14.6" hidden="false" customHeight="false" outlineLevel="0" collapsed="false">
      <c r="B25" s="80" t="s">
        <v>1967</v>
      </c>
    </row>
    <row r="26" customFormat="false" ht="14.6" hidden="false" customHeight="false" outlineLevel="0" collapsed="false">
      <c r="B26" s="80" t="s">
        <v>1968</v>
      </c>
    </row>
    <row r="29" customFormat="false" ht="14.6" hidden="false" customHeight="false" outlineLevel="0" collapsed="false">
      <c r="A29" s="80" t="s">
        <v>1969</v>
      </c>
      <c r="B29" s="80" t="s">
        <v>1970</v>
      </c>
    </row>
    <row r="30" customFormat="false" ht="14.6" hidden="false" customHeight="false" outlineLevel="0" collapsed="false">
      <c r="B30" s="80" t="s">
        <v>1971</v>
      </c>
    </row>
    <row r="31" customFormat="false" ht="14.6" hidden="false" customHeight="false" outlineLevel="0" collapsed="false">
      <c r="B31" s="80" t="s">
        <v>1972</v>
      </c>
    </row>
    <row r="32" customFormat="false" ht="14.6" hidden="false" customHeight="false" outlineLevel="0" collapsed="false">
      <c r="B32" s="80" t="s">
        <v>1973</v>
      </c>
    </row>
    <row r="33" customFormat="false" ht="14.6" hidden="false" customHeight="false" outlineLevel="0" collapsed="false">
      <c r="B33" s="80" t="s">
        <v>1974</v>
      </c>
    </row>
    <row r="34" customFormat="false" ht="14.6" hidden="false" customHeight="false" outlineLevel="0" collapsed="false">
      <c r="A34" s="80" t="s">
        <v>1975</v>
      </c>
      <c r="B34" s="80" t="s">
        <v>1976</v>
      </c>
    </row>
    <row r="36" customFormat="false" ht="14.6" hidden="false" customHeight="false" outlineLevel="0" collapsed="false">
      <c r="A36" s="80" t="s">
        <v>1977</v>
      </c>
      <c r="B36" s="80" t="s">
        <v>1978</v>
      </c>
    </row>
    <row r="38" customFormat="false" ht="14.6" hidden="false" customHeight="false" outlineLevel="0" collapsed="false">
      <c r="A38" s="80" t="s">
        <v>1979</v>
      </c>
      <c r="B38" s="80" t="s">
        <v>1980</v>
      </c>
    </row>
    <row r="40" customFormat="false" ht="14.6" hidden="false" customHeight="false" outlineLevel="0" collapsed="false">
      <c r="A40" s="80" t="s">
        <v>1981</v>
      </c>
      <c r="B40" s="80" t="s">
        <v>1982</v>
      </c>
    </row>
    <row r="41" customFormat="false" ht="14.6" hidden="false" customHeight="false" outlineLevel="0" collapsed="false">
      <c r="B41" s="80" t="s">
        <v>1983</v>
      </c>
    </row>
    <row r="45" customFormat="false" ht="14.6" hidden="false" customHeight="false" outlineLevel="0" collapsed="false">
      <c r="A45" s="80" t="s">
        <v>1984</v>
      </c>
      <c r="B45" s="80" t="s">
        <v>1985</v>
      </c>
    </row>
    <row r="46" customFormat="false" ht="14.6" hidden="false" customHeight="false" outlineLevel="0" collapsed="false">
      <c r="B46" s="80" t="s">
        <v>1986</v>
      </c>
    </row>
    <row r="48" customFormat="false" ht="14.6" hidden="false" customHeight="false" outlineLevel="0" collapsed="false">
      <c r="A48" s="80" t="s">
        <v>1987</v>
      </c>
      <c r="B48" s="80" t="s">
        <v>1988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A1:B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RowHeight="14.6" zeroHeight="false" outlineLevelRow="0" outlineLevelCol="0"/>
  <cols>
    <col collapsed="false" customWidth="true" hidden="false" outlineLevel="0" max="1" min="1" style="0" width="127.84"/>
    <col collapsed="false" customWidth="true" hidden="false" outlineLevel="0" max="2" min="2" style="0" width="255.69"/>
    <col collapsed="false" customWidth="true" hidden="false" outlineLevel="0" max="1025" min="3" style="0" width="8.75"/>
  </cols>
  <sheetData>
    <row r="1" customFormat="false" ht="14.6" hidden="false" customHeight="false" outlineLevel="0" collapsed="false">
      <c r="B1" s="197" t="s">
        <v>1989</v>
      </c>
    </row>
    <row r="2" customFormat="false" ht="58.3" hidden="false" customHeight="false" outlineLevel="0" collapsed="false">
      <c r="A2" s="230" t="s">
        <v>1990</v>
      </c>
      <c r="B2" s="231" t="s">
        <v>1991</v>
      </c>
    </row>
    <row r="3" customFormat="false" ht="58.3" hidden="false" customHeight="false" outlineLevel="0" collapsed="false">
      <c r="A3" s="230" t="s">
        <v>1992</v>
      </c>
      <c r="B3" s="232" t="s">
        <v>1993</v>
      </c>
    </row>
    <row r="4" customFormat="false" ht="43.75" hidden="false" customHeight="false" outlineLevel="0" collapsed="false">
      <c r="A4" s="233" t="s">
        <v>1994</v>
      </c>
      <c r="B4" s="234" t="s">
        <v>1995</v>
      </c>
    </row>
    <row r="5" customFormat="false" ht="14.6" hidden="false" customHeight="false" outlineLevel="0" collapsed="false">
      <c r="B5" s="80"/>
    </row>
    <row r="6" customFormat="false" ht="14.6" hidden="false" customHeight="false" outlineLevel="0" collapsed="false">
      <c r="A6" s="197" t="s">
        <v>1996</v>
      </c>
      <c r="B6" s="80"/>
    </row>
    <row r="7" customFormat="false" ht="14.6" hidden="false" customHeight="false" outlineLevel="0" collapsed="false">
      <c r="A7" s="235" t="s">
        <v>1997</v>
      </c>
      <c r="B7" s="80"/>
    </row>
    <row r="8" customFormat="false" ht="14.6" hidden="false" customHeight="false" outlineLevel="0" collapsed="false">
      <c r="A8" s="80"/>
      <c r="B8" s="80"/>
    </row>
    <row r="9" customFormat="false" ht="14.6" hidden="false" customHeight="false" outlineLevel="0" collapsed="false">
      <c r="A9" s="80" t="s">
        <v>1998</v>
      </c>
      <c r="B9" s="80"/>
    </row>
    <row r="10" customFormat="false" ht="14.6" hidden="false" customHeight="false" outlineLevel="0" collapsed="false">
      <c r="A10" s="80" t="s">
        <v>1999</v>
      </c>
      <c r="B10" s="80"/>
    </row>
    <row r="11" customFormat="false" ht="14.6" hidden="false" customHeight="false" outlineLevel="0" collapsed="false">
      <c r="B11" s="80"/>
    </row>
    <row r="12" customFormat="false" ht="14.6" hidden="false" customHeight="false" outlineLevel="0" collapsed="false">
      <c r="B12" s="80"/>
    </row>
    <row r="13" customFormat="false" ht="14.6" hidden="false" customHeight="false" outlineLevel="0" collapsed="false">
      <c r="A13" s="197" t="s">
        <v>2000</v>
      </c>
      <c r="B13" s="80"/>
    </row>
    <row r="14" customFormat="false" ht="14.6" hidden="false" customHeight="false" outlineLevel="0" collapsed="false">
      <c r="A14" s="130"/>
      <c r="B14" s="80"/>
    </row>
    <row r="15" customFormat="false" ht="14.6" hidden="false" customHeight="false" outlineLevel="0" collapsed="false">
      <c r="A15" s="148" t="s">
        <v>2001</v>
      </c>
      <c r="B15" s="80"/>
    </row>
    <row r="16" customFormat="false" ht="14.6" hidden="false" customHeight="false" outlineLevel="0" collapsed="false">
      <c r="A16" s="148" t="s">
        <v>2002</v>
      </c>
      <c r="B16" s="80"/>
    </row>
    <row r="17" customFormat="false" ht="14.6" hidden="false" customHeight="false" outlineLevel="0" collapsed="false">
      <c r="A17" s="148" t="s">
        <v>2003</v>
      </c>
      <c r="B17" s="80"/>
    </row>
    <row r="18" customFormat="false" ht="14.6" hidden="false" customHeight="false" outlineLevel="0" collapsed="false">
      <c r="A18" s="148" t="s">
        <v>2004</v>
      </c>
      <c r="B18" s="80"/>
    </row>
    <row r="19" customFormat="false" ht="14.6" hidden="false" customHeight="false" outlineLevel="0" collapsed="false">
      <c r="A19" s="148" t="s">
        <v>2005</v>
      </c>
      <c r="B19" s="80"/>
    </row>
    <row r="20" customFormat="false" ht="14.6" hidden="false" customHeight="false" outlineLevel="0" collapsed="false">
      <c r="A20" s="148" t="s">
        <v>2006</v>
      </c>
      <c r="B20" s="80"/>
    </row>
    <row r="21" customFormat="false" ht="14.6" hidden="false" customHeight="false" outlineLevel="0" collapsed="false">
      <c r="A21" s="148" t="s">
        <v>2007</v>
      </c>
      <c r="B21" s="80"/>
    </row>
    <row r="22" customFormat="false" ht="14.6" hidden="false" customHeight="false" outlineLevel="0" collapsed="false">
      <c r="A22" s="148" t="s">
        <v>2008</v>
      </c>
      <c r="B22" s="80"/>
    </row>
    <row r="23" customFormat="false" ht="14.6" hidden="false" customHeight="false" outlineLevel="0" collapsed="false">
      <c r="A23" s="148" t="s">
        <v>2009</v>
      </c>
      <c r="B23" s="80"/>
    </row>
    <row r="24" customFormat="false" ht="14.6" hidden="false" customHeight="false" outlineLevel="0" collapsed="false">
      <c r="A24" s="148" t="s">
        <v>2010</v>
      </c>
      <c r="B24" s="80"/>
    </row>
    <row r="25" customFormat="false" ht="14.6" hidden="false" customHeight="false" outlineLevel="0" collapsed="false">
      <c r="A25" s="148" t="s">
        <v>2011</v>
      </c>
      <c r="B25" s="80"/>
    </row>
    <row r="26" customFormat="false" ht="14.6" hidden="false" customHeight="false" outlineLevel="0" collapsed="false">
      <c r="A26" s="148" t="s">
        <v>2012</v>
      </c>
      <c r="B26" s="80"/>
    </row>
    <row r="27" customFormat="false" ht="14.6" hidden="false" customHeight="false" outlineLevel="0" collapsed="false">
      <c r="A27" s="148" t="s">
        <v>2013</v>
      </c>
      <c r="B27" s="80"/>
    </row>
    <row r="28" customFormat="false" ht="14.6" hidden="false" customHeight="false" outlineLevel="0" collapsed="false">
      <c r="A28" s="148" t="s">
        <v>2014</v>
      </c>
      <c r="B28" s="80"/>
    </row>
    <row r="29" customFormat="false" ht="14.6" hidden="false" customHeight="false" outlineLevel="0" collapsed="false">
      <c r="A29" s="148" t="s">
        <v>2015</v>
      </c>
      <c r="B29" s="80"/>
    </row>
    <row r="30" customFormat="false" ht="14.6" hidden="false" customHeight="false" outlineLevel="0" collapsed="false">
      <c r="A30" s="148" t="s">
        <v>2016</v>
      </c>
      <c r="B30" s="80"/>
    </row>
    <row r="31" customFormat="false" ht="14.6" hidden="false" customHeight="false" outlineLevel="0" collapsed="false">
      <c r="A31" s="148" t="s">
        <v>2017</v>
      </c>
      <c r="B31" s="8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sheetPr filterMode="false">
    <pageSetUpPr fitToPage="false"/>
  </sheetPr>
  <dimension ref="A1:C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40" activeCellId="0" sqref="B40"/>
    </sheetView>
  </sheetViews>
  <sheetFormatPr defaultRowHeight="14.6" zeroHeight="false" outlineLevelRow="0" outlineLevelCol="0"/>
  <cols>
    <col collapsed="false" customWidth="true" hidden="false" outlineLevel="0" max="1" min="1" style="0" width="75.08"/>
    <col collapsed="false" customWidth="true" hidden="false" outlineLevel="0" max="2" min="2" style="0" width="82.23"/>
    <col collapsed="false" customWidth="true" hidden="false" outlineLevel="0" max="3" min="3" style="0" width="11.23"/>
    <col collapsed="false" customWidth="true" hidden="false" outlineLevel="0" max="1025" min="4" style="0" width="8.75"/>
  </cols>
  <sheetData>
    <row r="1" customFormat="false" ht="14.6" hidden="false" customHeight="false" outlineLevel="0" collapsed="false">
      <c r="A1" s="0" t="s">
        <v>2018</v>
      </c>
      <c r="B1" s="0" t="s">
        <v>2019</v>
      </c>
    </row>
    <row r="2" customFormat="false" ht="14.6" hidden="false" customHeight="false" outlineLevel="0" collapsed="false">
      <c r="A2" s="0" t="s">
        <v>2020</v>
      </c>
      <c r="B2" s="0" t="s">
        <v>2021</v>
      </c>
    </row>
    <row r="3" customFormat="false" ht="14.6" hidden="false" customHeight="false" outlineLevel="0" collapsed="false">
      <c r="A3" s="0" t="s">
        <v>2022</v>
      </c>
      <c r="B3" s="0" t="s">
        <v>2023</v>
      </c>
    </row>
    <row r="4" customFormat="false" ht="14.6" hidden="false" customHeight="false" outlineLevel="0" collapsed="false">
      <c r="A4" s="0" t="s">
        <v>2024</v>
      </c>
    </row>
    <row r="5" customFormat="false" ht="14.6" hidden="false" customHeight="false" outlineLevel="0" collapsed="false">
      <c r="A5" s="0" t="s">
        <v>2025</v>
      </c>
    </row>
    <row r="11" customFormat="false" ht="14.6" hidden="false" customHeight="false" outlineLevel="0" collapsed="false">
      <c r="A11" s="0" t="s">
        <v>2026</v>
      </c>
    </row>
    <row r="12" customFormat="false" ht="14.6" hidden="false" customHeight="false" outlineLevel="0" collapsed="false">
      <c r="A12" s="188" t="s">
        <v>2027</v>
      </c>
    </row>
    <row r="13" customFormat="false" ht="14.6" hidden="false" customHeight="false" outlineLevel="0" collapsed="false">
      <c r="A13" s="188" t="s">
        <v>2028</v>
      </c>
    </row>
    <row r="14" customFormat="false" ht="14.6" hidden="false" customHeight="false" outlineLevel="0" collapsed="false">
      <c r="A14" s="229" t="s">
        <v>2029</v>
      </c>
    </row>
    <row r="15" customFormat="false" ht="29.15" hidden="false" customHeight="false" outlineLevel="0" collapsed="false">
      <c r="A15" s="229" t="s">
        <v>2030</v>
      </c>
      <c r="B15" s="8" t="s">
        <v>2031</v>
      </c>
      <c r="C15" s="0" t="s">
        <v>2032</v>
      </c>
    </row>
    <row r="16" customFormat="false" ht="14.6" hidden="false" customHeight="false" outlineLevel="0" collapsed="false">
      <c r="A16" s="188" t="s">
        <v>2033</v>
      </c>
    </row>
    <row r="17" customFormat="false" ht="14.6" hidden="false" customHeight="false" outlineLevel="0" collapsed="false">
      <c r="A17" s="188" t="s">
        <v>2034</v>
      </c>
    </row>
    <row r="21" customFormat="false" ht="14.6" hidden="false" customHeight="false" outlineLevel="0" collapsed="false">
      <c r="A21" s="222" t="s">
        <v>2035</v>
      </c>
      <c r="B21" s="222" t="s">
        <v>2036</v>
      </c>
    </row>
    <row r="22" customFormat="false" ht="14.6" hidden="false" customHeight="false" outlineLevel="0" collapsed="false">
      <c r="A22" s="0" t="s">
        <v>218</v>
      </c>
      <c r="B22" s="0" t="s">
        <v>218</v>
      </c>
    </row>
    <row r="23" customFormat="false" ht="14.6" hidden="false" customHeight="false" outlineLevel="0" collapsed="false">
      <c r="A23" s="0" t="s">
        <v>2037</v>
      </c>
      <c r="B23" s="0" t="s">
        <v>2037</v>
      </c>
    </row>
    <row r="24" customFormat="false" ht="14.6" hidden="false" customHeight="false" outlineLevel="0" collapsed="false">
      <c r="A24" s="0" t="s">
        <v>2038</v>
      </c>
      <c r="B24" s="0" t="s">
        <v>2038</v>
      </c>
    </row>
    <row r="25" customFormat="false" ht="14.6" hidden="false" customHeight="false" outlineLevel="0" collapsed="false">
      <c r="A25" s="0" t="s">
        <v>1139</v>
      </c>
      <c r="B25" s="0" t="s">
        <v>2039</v>
      </c>
    </row>
    <row r="26" customFormat="false" ht="14.6" hidden="false" customHeight="false" outlineLevel="0" collapsed="false">
      <c r="A26" s="0" t="s">
        <v>2040</v>
      </c>
      <c r="B26" s="0" t="s">
        <v>2041</v>
      </c>
    </row>
    <row r="27" customFormat="false" ht="14.6" hidden="false" customHeight="false" outlineLevel="0" collapsed="false">
      <c r="A27" s="0" t="s">
        <v>1347</v>
      </c>
      <c r="B27" s="0" t="s">
        <v>1347</v>
      </c>
    </row>
    <row r="28" customFormat="false" ht="14.6" hidden="false" customHeight="false" outlineLevel="0" collapsed="false">
      <c r="A28" s="0" t="s">
        <v>2042</v>
      </c>
      <c r="B28" s="0" t="s">
        <v>2043</v>
      </c>
    </row>
    <row r="29" customFormat="false" ht="14.6" hidden="false" customHeight="false" outlineLevel="0" collapsed="false">
      <c r="A29" s="0" t="s">
        <v>2044</v>
      </c>
      <c r="B29" s="0" t="s">
        <v>2045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9</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2019-05-07T13:06:20Z</dcterms:created>
  <dc:creator>Taik, Abdelali</dc:creator>
  <dc:description/>
  <dc:language>en-CA</dc:language>
  <cp:lastModifiedBy/>
  <cp:lastPrinted>2019-09-04T12:26:50Z</cp:lastPrinted>
  <dcterms:modified xsi:type="dcterms:W3CDTF">2020-09-15T21:05:57Z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